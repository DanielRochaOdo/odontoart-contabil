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Eventos\Conhecidos\2026\03.2026\"/>
    </mc:Choice>
  </mc:AlternateContent>
  <xr:revisionPtr revIDLastSave="0" documentId="13_ncr:1_{24F1B754-57D8-45AD-BCC7-74961289B6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entos Conhecidos - PF" sheetId="1" r:id="rId1"/>
    <sheet name="Eventos Conhecidos - PJ" sheetId="2" r:id="rId2"/>
  </sheets>
  <definedNames>
    <definedName name="_xlnm._FilterDatabase" localSheetId="0" hidden="1">'Eventos Conhecidos - PF'!$X$18:$X$20</definedName>
    <definedName name="_xlnm._FilterDatabase" localSheetId="1" hidden="1">'Eventos Conhecidos - PJ'!$A$1:$Y$34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2" l="1"/>
  <c r="W8" i="2"/>
  <c r="X7" i="2"/>
  <c r="W7" i="2"/>
  <c r="X6" i="2"/>
  <c r="W6" i="2"/>
  <c r="Z5" i="1"/>
  <c r="X5" i="1"/>
  <c r="W5" i="1"/>
  <c r="X5" i="2"/>
  <c r="W5" i="2"/>
  <c r="Z6" i="1" l="1"/>
  <c r="X6" i="1"/>
  <c r="W6" i="1"/>
  <c r="R18" i="1" l="1"/>
  <c r="Z7" i="1"/>
  <c r="X7" i="1"/>
  <c r="W7" i="1"/>
  <c r="Z8" i="1" l="1"/>
  <c r="X8" i="1"/>
  <c r="W8" i="1"/>
  <c r="X18" i="2"/>
  <c r="W18" i="2"/>
  <c r="Z11" i="1"/>
  <c r="X11" i="1"/>
  <c r="W11" i="1"/>
  <c r="X14" i="2"/>
  <c r="W14" i="2"/>
  <c r="X13" i="2"/>
  <c r="W13" i="2"/>
  <c r="Z10" i="1"/>
  <c r="X10" i="1"/>
  <c r="W10" i="1"/>
  <c r="X12" i="2"/>
  <c r="W12" i="2"/>
  <c r="X15" i="2"/>
  <c r="W15" i="2"/>
  <c r="X27" i="2" l="1"/>
  <c r="W27" i="2"/>
  <c r="Q34" i="2"/>
  <c r="X17" i="2"/>
  <c r="W17" i="2"/>
  <c r="Z4" i="1"/>
  <c r="Z9" i="1"/>
  <c r="Z12" i="1"/>
  <c r="Z13" i="1"/>
  <c r="Z14" i="1"/>
  <c r="Z15" i="1"/>
  <c r="Z16" i="1"/>
  <c r="Z17" i="1"/>
  <c r="V34" i="2"/>
  <c r="U34" i="2"/>
  <c r="T34" i="2"/>
  <c r="S34" i="2"/>
  <c r="R34" i="2"/>
  <c r="X16" i="2"/>
  <c r="W16" i="2"/>
  <c r="X11" i="2"/>
  <c r="W11" i="2"/>
  <c r="X13" i="1"/>
  <c r="W13" i="1"/>
  <c r="X9" i="2" l="1"/>
  <c r="W9" i="2"/>
  <c r="X21" i="2"/>
  <c r="W21" i="2"/>
  <c r="X20" i="2"/>
  <c r="W20" i="2"/>
  <c r="X19" i="2"/>
  <c r="W19" i="2"/>
  <c r="X10" i="2"/>
  <c r="W10" i="2"/>
  <c r="X33" i="2"/>
  <c r="W33" i="2"/>
  <c r="X32" i="2"/>
  <c r="W32" i="2"/>
  <c r="X31" i="2"/>
  <c r="W31" i="2"/>
  <c r="X30" i="2"/>
  <c r="W30" i="2"/>
  <c r="X29" i="2"/>
  <c r="W29" i="2"/>
  <c r="X28" i="2"/>
  <c r="W28" i="2"/>
  <c r="X26" i="2"/>
  <c r="W26" i="2"/>
  <c r="X25" i="2"/>
  <c r="W25" i="2"/>
  <c r="X24" i="2"/>
  <c r="W24" i="2"/>
  <c r="X23" i="2"/>
  <c r="W23" i="2"/>
  <c r="X22" i="2"/>
  <c r="W22" i="2"/>
  <c r="X17" i="1"/>
  <c r="W17" i="1"/>
  <c r="X16" i="1"/>
  <c r="W16" i="1"/>
  <c r="X15" i="1"/>
  <c r="W15" i="1"/>
  <c r="X14" i="1"/>
  <c r="W14" i="1"/>
  <c r="X12" i="1"/>
  <c r="W12" i="1"/>
  <c r="X9" i="1"/>
  <c r="W9" i="1"/>
  <c r="X4" i="2"/>
  <c r="W4" i="2"/>
  <c r="W4" i="1"/>
  <c r="V18" i="1"/>
  <c r="U18" i="1"/>
  <c r="T18" i="1"/>
  <c r="S18" i="1"/>
  <c r="Q18" i="1"/>
  <c r="X4" i="1"/>
  <c r="W34" i="2" l="1"/>
  <c r="X34" i="2"/>
  <c r="X18" i="1"/>
  <c r="W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A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D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Codigo do prestador no sistema s4e</t>
        </r>
      </text>
    </comment>
    <comment ref="E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Nº LOTE SISTEMA</t>
        </r>
      </text>
    </comment>
    <comment ref="Q3" authorId="0" shapeId="0" xr:uid="{7E13AF6B-ABAF-4DA2-922B-BEAB603D811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Carvalho:
= AO VALOR BRUTO</t>
        </r>
      </text>
    </comment>
    <comment ref="Y3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ultimo dia do mês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A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D3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Codigo do prestador no sistema s4e</t>
        </r>
      </text>
    </comment>
    <comment ref="E3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Nº LOTE SISTEMA</t>
        </r>
      </text>
    </comment>
    <comment ref="Q3" authorId="0" shapeId="0" xr:uid="{BFE1BE85-63FC-4CFD-B31F-5097D0CF4C5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AO VALOR BRUTO</t>
        </r>
      </text>
    </comment>
    <comment ref="Y3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ultimo dia do mês</t>
        </r>
      </text>
    </comment>
  </commentList>
</comments>
</file>

<file path=xl/sharedStrings.xml><?xml version="1.0" encoding="utf-8"?>
<sst xmlns="http://schemas.openxmlformats.org/spreadsheetml/2006/main" count="234" uniqueCount="129">
  <si>
    <t>COMP</t>
  </si>
  <si>
    <t>DT. AVISO</t>
  </si>
  <si>
    <t>CODIGO</t>
  </si>
  <si>
    <t>CNPJ/CPF</t>
  </si>
  <si>
    <t>DOCUMENTO</t>
  </si>
  <si>
    <t>N. DOC</t>
  </si>
  <si>
    <t>VENCIMENTO</t>
  </si>
  <si>
    <t>REGISTRO</t>
  </si>
  <si>
    <t>DT. PAGTO</t>
  </si>
  <si>
    <t>TOTAL</t>
  </si>
  <si>
    <t xml:space="preserve">NOME-PRESTADOR                                              </t>
  </si>
  <si>
    <t>EMISSÃO</t>
  </si>
  <si>
    <t>Aliq</t>
  </si>
  <si>
    <t>VL. BRUTO</t>
  </si>
  <si>
    <t>INSS</t>
  </si>
  <si>
    <t>ISS</t>
  </si>
  <si>
    <t>IR</t>
  </si>
  <si>
    <t>LIQUIDO</t>
  </si>
  <si>
    <t>Empresarial</t>
  </si>
  <si>
    <t>Individual</t>
  </si>
  <si>
    <t>Ortodontia</t>
  </si>
  <si>
    <t>TOTAL PAGO</t>
  </si>
  <si>
    <t>Tipo</t>
  </si>
  <si>
    <t>Modelo de Pagamento</t>
  </si>
  <si>
    <t>DT. OCORR</t>
  </si>
  <si>
    <t>LOTE</t>
  </si>
  <si>
    <t>LIQUIDO AGING</t>
  </si>
  <si>
    <t xml:space="preserve">NOME-PRESTADOR          </t>
  </si>
  <si>
    <t>CRUZAR COM CONHECIDOS DO MÊS ANTERIOR/ORTO: MÊS EVENTO, MÊS ANTERIOR EVENTO, MÊS EVENTO</t>
  </si>
  <si>
    <t>PF</t>
  </si>
  <si>
    <t>PJ</t>
  </si>
  <si>
    <t>ADELINE LOPES DE ALBUQUERQUE - ORTODONTIA COD(7277) CRO: 3316</t>
  </si>
  <si>
    <t>ALEIDA ISABEL DE VEIGA MARTINS - ORTODONTIA COD(82877) CRO: 13531</t>
  </si>
  <si>
    <t>ANA SARAH BOTO NOGUEIRA - ORTODONTIA COD(9468) CRO: 7914</t>
  </si>
  <si>
    <t>ARISTOTELES DE BRITO MAGALHAES - ORTODONTIA COD(82737) CRO: 9557</t>
  </si>
  <si>
    <t>CLEITON SIQUEIRA DE SOUSA - ORTODONTIA COD(15924) CRO: 8006</t>
  </si>
  <si>
    <t>ELLEN SAMYLLE FARIAS PINTO - ORTODONTIA COD(15698) CRO: 11407</t>
  </si>
  <si>
    <t>FRANCISCO ARAUJO COSTA FILHO - ORTODONTIA COD(8834) CRO: 8098</t>
  </si>
  <si>
    <t>LARA JORDANA AZEVEDO HENRIQUE - ORTODONTIA COD(9947) CRO: 9635</t>
  </si>
  <si>
    <t>LUANA ESPINOLA FERREIRA DE ARAUJO - ORTODONTIA COD(9097) CRO: 8304</t>
  </si>
  <si>
    <t>MATEUS DE SOUSA SANTOS - ORTODONTIA COD(15977) CRO: 13765</t>
  </si>
  <si>
    <t>NARA LUCIA COSTA FARIAS - ORTODONTIA COD(7924) CRO: 4895</t>
  </si>
  <si>
    <t>RAFAELLE LAYS BRITO CABRAL - ORTODONTIA COD(8589) CRO: 8298</t>
  </si>
  <si>
    <t>TATIANA MARIA ROCHA SANTOS - ORTODONTIA COD(7577) CRO: 5799</t>
  </si>
  <si>
    <t>THAYS OLIVEIRA SANTIAGO - ORTODONTIA COD(15975) CRO: 14760</t>
  </si>
  <si>
    <t>YURI JIVAGO PEREIRA CARVALHO - ORTODONTIA COD(15934) CRO: 6644</t>
  </si>
  <si>
    <t>393.513.863-68</t>
  </si>
  <si>
    <t>082.843.561-80</t>
  </si>
  <si>
    <t>669.111.923-15</t>
  </si>
  <si>
    <t>029.648.703-14</t>
  </si>
  <si>
    <t>062.246.843-08</t>
  </si>
  <si>
    <t>014.732.273-13</t>
  </si>
  <si>
    <t>020.499.903-08</t>
  </si>
  <si>
    <t>048.126.023-43</t>
  </si>
  <si>
    <t>001.756.663-00</t>
  </si>
  <si>
    <t>641.871.013-49</t>
  </si>
  <si>
    <t>014.091.393-95</t>
  </si>
  <si>
    <t>018.362.033-06</t>
  </si>
  <si>
    <t>RPA INTERNO ORTODONTIA - ITAU</t>
  </si>
  <si>
    <t>RPA INTERNO ORTODONTIA - BANCO DO BRASIL</t>
  </si>
  <si>
    <t>ALLANA ROBERTA BANDEIRA PEREIRA - ORTODONTIA COD(9362) CRO: 10652</t>
  </si>
  <si>
    <t>ANA CAROLINY GONÇALVES BEZERRA - ORTODONTIA COD(14760) CRO: 9466</t>
  </si>
  <si>
    <t>ANDREZA MARIA SILVA NOGUEIRA - ORTODONTIA COD(15433) CRO: 10884</t>
  </si>
  <si>
    <t>BIANCA DE SOUZA PINHEIRO - ORTODONTIA COD(5204) CRO: 5204</t>
  </si>
  <si>
    <t>BRUNO CAVALCANTE PAULINO - ORTODONTIA COD(7714) CRO: 6710</t>
  </si>
  <si>
    <t>CAIO CESAR ARRUDA - ORTODONTIA COD(8511) CRO: 8271</t>
  </si>
  <si>
    <t>CAIO ÉSIO VERÇOSA VIEIRA - ORTODONTIA COD(7004) CRO: 6596</t>
  </si>
  <si>
    <t>CINTIA MENDES NUNES - ORTODONTIA COD(9782) CRO: 8510</t>
  </si>
  <si>
    <t>DOUGLAS SILVA SANTANA - ORTODONTIA COD(7746) CRO: 6695</t>
  </si>
  <si>
    <t>EDELINE BARBOSA ARAUJO - ORTODONTIA COD(9295) CRO: 7895</t>
  </si>
  <si>
    <t>ERIKA TELES DE VASCONCELOS - ORTODONTIA COD(7576) CRO: 7146</t>
  </si>
  <si>
    <t>GABRIELLA DANTAS COSTA - ORTODONTIA COD(8047) CRO: 8186</t>
  </si>
  <si>
    <t>HELANE SUELE RIBEIRO ALVES - ORTODONTIA COD(14712) CRO: 10021</t>
  </si>
  <si>
    <t>INGRYD DA SILVA MARTINS - ORTODONTIA COD(9817) CRO: 9633</t>
  </si>
  <si>
    <t>JANICE CARVALHO MACHADO LINS - ORTODONTIA COD(5064) CRO: 5064</t>
  </si>
  <si>
    <t>KARINNA VASCONCELOS MOREIRA PONTES - ORTODONTIA COD(8035) CRO: 4572</t>
  </si>
  <si>
    <t>LIANA ROMERO MIRANDA - ORTODONTIA COD(7571) CRO: 6712</t>
  </si>
  <si>
    <t>LIRYA NAGYLA DE SOUZA CAVALCANTE - ORTODONTIA COD(9460) CRO: 9088</t>
  </si>
  <si>
    <t>LUCIVANIA DA SILVA GONÇALVES - ORTODONTIA COD(15093) CRO: 9680</t>
  </si>
  <si>
    <t>MARIA JANEDSA SILVA CAVALCANTE - ORTODONTIA COD(8777) CRO: 8294</t>
  </si>
  <si>
    <t>MARIA JULIA DOS SANTOS GOIS - ORTODONTIA COD(7545) CRO: 5162</t>
  </si>
  <si>
    <t>PAULO VICTOR PINHEIRO BRAZ - ORTODONTIA COD(10053) CRO: 9582</t>
  </si>
  <si>
    <t>PRISCILA PEREIRA ARAUJO - ORTODONTIA COD(8087) CRO: 7948</t>
  </si>
  <si>
    <t>RAFAEL DOUGLAS LIMA GONÇALVES - ORTODONTIA COD(7792) CRO: 5677</t>
  </si>
  <si>
    <t>RAFAEL MACIEL DE OLIVEIRA - ORTODONTIA COD(6980) CRO: 6279</t>
  </si>
  <si>
    <t>THAIS VASCONCELOS PONTES - ORTODONTIA COD(15894) CRO: 15092</t>
  </si>
  <si>
    <t>YARA GRANJEIRO F DE LUCENA - ORTODONTIA COD(7280) CRO: 5264</t>
  </si>
  <si>
    <t>52.962.935/0001-52</t>
  </si>
  <si>
    <t>53.132.145/0001-02</t>
  </si>
  <si>
    <t>57.316.577/0001-24</t>
  </si>
  <si>
    <t>53.288.632/0001-69</t>
  </si>
  <si>
    <t>48.728.204/0001-70</t>
  </si>
  <si>
    <t>24.398.623/0001-22</t>
  </si>
  <si>
    <t>19.163.103/0001-09</t>
  </si>
  <si>
    <t>57.802.578/0001-89</t>
  </si>
  <si>
    <t>53.194.225/0001-92</t>
  </si>
  <si>
    <t>58.645.927/0001-69</t>
  </si>
  <si>
    <t>53.145.789/0001-35</t>
  </si>
  <si>
    <t>41.947.019/0001-27</t>
  </si>
  <si>
    <t>53.038.880/0001-51</t>
  </si>
  <si>
    <t>54.323.128/0001-15</t>
  </si>
  <si>
    <t>53.171.191/0001-10</t>
  </si>
  <si>
    <t>53.194.469/0001-75</t>
  </si>
  <si>
    <t>53.101.513/0001-55</t>
  </si>
  <si>
    <t>54.341.655/0001-52</t>
  </si>
  <si>
    <t>57.069.761/0001-17</t>
  </si>
  <si>
    <t>53.159.421/0001-26</t>
  </si>
  <si>
    <t>52.852.264/0001-77</t>
  </si>
  <si>
    <t>53.129.602/0001-00</t>
  </si>
  <si>
    <t>52.989.467/0001-00</t>
  </si>
  <si>
    <t>53.609.941/0001-93</t>
  </si>
  <si>
    <t>18.347.134/0001-49</t>
  </si>
  <si>
    <t>58.874.920/0001-19</t>
  </si>
  <si>
    <t>60.182.289/0001-39</t>
  </si>
  <si>
    <t>NF INTERNO ORTODONTIA SIMPLES C/ ISS - 2,17%-ITAU</t>
  </si>
  <si>
    <t>NF INTERNO ORTODONTIA SIMPLES C/ ISS - 2,01%-ITAU</t>
  </si>
  <si>
    <t>NF INTERNO ORTODONTIA SIMPLES SEM ISS -ITAÚ</t>
  </si>
  <si>
    <t>NF INTERNO ORTODONTIA SIMPLES C/ ISS - 2,17%- BB</t>
  </si>
  <si>
    <t>NF INTERNO ORTODONTIA-ITAU</t>
  </si>
  <si>
    <t>NF INTERNO ORTODONTIA SIMPLES C/ ISS - 2,01%- BB</t>
  </si>
  <si>
    <t>NF INTERNO ORTODONTIA SIMPLES C/ ISS - 2,00%-ITAU</t>
  </si>
  <si>
    <t>TAMARA DE FREITAS SOUZA - ORTODONTIA COD(15541) CRO: 12204</t>
  </si>
  <si>
    <t>893.856.833-49</t>
  </si>
  <si>
    <t>42.294.204/0001-22</t>
  </si>
  <si>
    <t>64.479.061/0001-66</t>
  </si>
  <si>
    <t>64.739.264/0001-44</t>
  </si>
  <si>
    <t>ODONTOART - EVENTOS CONHECIDOS ORTODONTIA - MARÇO.2026</t>
  </si>
  <si>
    <t>ANA INARA RODRIGUES PEREIRA - ORTODONTIA COD(82942) CRO: 14979</t>
  </si>
  <si>
    <t>611.090.993-98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</si>
</sst>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/yy"/>
    <numFmt numFmtId="165" formatCode="d/m;@"/>
  </numFmts>
  <fonts count="2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7" fillId="20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0" fontId="10" fillId="0" borderId="4" applyNumberFormat="0" applyFill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1" fillId="29" borderId="2" applyNumberFormat="0" applyAlignment="0" applyProtection="0"/>
    <xf numFmtId="0" fontId="5" fillId="30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37" borderId="0" applyNumberFormat="0" applyBorder="0" applyAlignment="0" applyProtection="0"/>
    <xf numFmtId="0" fontId="24" fillId="38" borderId="0" applyNumberFormat="0" applyBorder="0" applyAlignment="0" applyProtection="0"/>
    <xf numFmtId="43" fontId="5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43" fontId="5" fillId="0" borderId="0" xfId="40" applyFont="1"/>
    <xf numFmtId="0" fontId="0" fillId="0" borderId="0" xfId="0" applyAlignment="1">
      <alignment horizontal="center"/>
    </xf>
    <xf numFmtId="14" fontId="20" fillId="0" borderId="1" xfId="0" applyNumberFormat="1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43" fontId="20" fillId="0" borderId="1" xfId="40" applyFont="1" applyBorder="1"/>
    <xf numFmtId="43" fontId="20" fillId="31" borderId="1" xfId="40" applyFont="1" applyFill="1" applyBorder="1"/>
    <xf numFmtId="1" fontId="20" fillId="0" borderId="1" xfId="0" applyNumberFormat="1" applyFont="1" applyBorder="1"/>
    <xf numFmtId="1" fontId="0" fillId="0" borderId="0" xfId="0" applyNumberFormat="1"/>
    <xf numFmtId="0" fontId="20" fillId="0" borderId="0" xfId="0" applyFont="1"/>
    <xf numFmtId="0" fontId="20" fillId="0" borderId="0" xfId="40" applyNumberFormat="1" applyFont="1" applyFill="1" applyBorder="1"/>
    <xf numFmtId="10" fontId="20" fillId="0" borderId="0" xfId="0" applyNumberFormat="1" applyFont="1"/>
    <xf numFmtId="165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5" fillId="0" borderId="0" xfId="40" applyFont="1" applyAlignment="1">
      <alignment horizontal="left"/>
    </xf>
    <xf numFmtId="43" fontId="20" fillId="0" borderId="1" xfId="40" applyFont="1" applyBorder="1" applyAlignment="1">
      <alignment horizontal="left"/>
    </xf>
    <xf numFmtId="43" fontId="20" fillId="0" borderId="0" xfId="0" applyNumberFormat="1" applyFont="1"/>
    <xf numFmtId="165" fontId="21" fillId="0" borderId="0" xfId="0" applyNumberFormat="1" applyFont="1"/>
    <xf numFmtId="164" fontId="19" fillId="0" borderId="0" xfId="0" applyNumberFormat="1" applyFont="1"/>
    <xf numFmtId="164" fontId="19" fillId="32" borderId="1" xfId="0" applyNumberFormat="1" applyFont="1" applyFill="1" applyBorder="1" applyAlignment="1">
      <alignment horizontal="center"/>
    </xf>
    <xf numFmtId="0" fontId="19" fillId="32" borderId="1" xfId="0" applyFont="1" applyFill="1" applyBorder="1" applyAlignment="1">
      <alignment horizontal="center"/>
    </xf>
    <xf numFmtId="43" fontId="19" fillId="32" borderId="1" xfId="40" applyFont="1" applyFill="1" applyBorder="1" applyAlignment="1">
      <alignment horizontal="left"/>
    </xf>
    <xf numFmtId="43" fontId="19" fillId="33" borderId="1" xfId="40" applyFont="1" applyFill="1" applyBorder="1" applyAlignment="1">
      <alignment horizontal="left"/>
    </xf>
    <xf numFmtId="43" fontId="19" fillId="31" borderId="1" xfId="40" applyFont="1" applyFill="1" applyBorder="1" applyAlignment="1">
      <alignment horizontal="center"/>
    </xf>
    <xf numFmtId="164" fontId="19" fillId="34" borderId="1" xfId="0" applyNumberFormat="1" applyFont="1" applyFill="1" applyBorder="1"/>
    <xf numFmtId="0" fontId="19" fillId="35" borderId="1" xfId="0" applyFont="1" applyFill="1" applyBorder="1" applyAlignment="1">
      <alignment horizontal="center"/>
    </xf>
    <xf numFmtId="43" fontId="0" fillId="0" borderId="0" xfId="0" applyNumberFormat="1"/>
    <xf numFmtId="0" fontId="19" fillId="36" borderId="1" xfId="0" applyFont="1" applyFill="1" applyBorder="1" applyAlignment="1">
      <alignment horizontal="center"/>
    </xf>
    <xf numFmtId="0" fontId="19" fillId="34" borderId="1" xfId="0" applyFont="1" applyFill="1" applyBorder="1"/>
    <xf numFmtId="0" fontId="19" fillId="34" borderId="1" xfId="0" applyFont="1" applyFill="1" applyBorder="1" applyAlignment="1">
      <alignment horizontal="center"/>
    </xf>
    <xf numFmtId="1" fontId="19" fillId="34" borderId="1" xfId="0" applyNumberFormat="1" applyFont="1" applyFill="1" applyBorder="1"/>
    <xf numFmtId="43" fontId="19" fillId="34" borderId="1" xfId="0" applyNumberFormat="1" applyFont="1" applyFill="1" applyBorder="1"/>
    <xf numFmtId="0" fontId="19" fillId="0" borderId="0" xfId="0" applyFont="1"/>
    <xf numFmtId="164" fontId="20" fillId="0" borderId="1" xfId="0" applyNumberFormat="1" applyFont="1" applyBorder="1"/>
  </cellXfs>
  <cellStyles count="4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 2" xfId="43" xr:uid="{C71BEDA7-FB34-4EE0-BD58-63D15E9BE777}"/>
    <cellStyle name="Normal" xfId="0" builtinId="0"/>
    <cellStyle name="Nota" xfId="30" builtinId="10" customBuiltin="1"/>
    <cellStyle name="Ruim" xfId="42" builtinId="27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  <cellStyle name="Vírgula" xfId="40" builtinId="3"/>
    <cellStyle name="Vírgula 2" xfId="41" xr:uid="{00000000-0005-0000-0000-000029000000}"/>
    <cellStyle name="Vírgula 3" xfId="44" xr:uid="{EB0E42B9-9ED7-40BB-9D41-2434C6A340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zoomScale="85" zoomScaleNormal="85" workbookViewId="0"/>
  </sheetViews>
  <sheetFormatPr defaultRowHeight="15" x14ac:dyDescent="0.25"/>
  <cols>
    <col min="1" max="1" width="6.5703125" style="1" bestFit="1" customWidth="1"/>
    <col min="2" max="2" width="10.5703125" style="1" bestFit="1" customWidth="1"/>
    <col min="3" max="3" width="10.7109375" bestFit="1" customWidth="1"/>
    <col min="4" max="4" width="10.7109375" customWidth="1"/>
    <col min="5" max="5" width="9.140625" customWidth="1"/>
    <col min="6" max="6" width="75.5703125" bestFit="1" customWidth="1"/>
    <col min="7" max="7" width="4.85546875" style="3" bestFit="1" customWidth="1"/>
    <col min="8" max="8" width="15" style="10" bestFit="1" customWidth="1"/>
    <col min="9" max="9" width="13.140625" hidden="1" customWidth="1"/>
    <col min="10" max="10" width="7.28515625" hidden="1" customWidth="1"/>
    <col min="11" max="11" width="9.140625" hidden="1" customWidth="1"/>
    <col min="12" max="12" width="13.28515625" hidden="1" customWidth="1"/>
    <col min="13" max="13" width="3" hidden="1" customWidth="1"/>
    <col min="14" max="14" width="44.140625" bestFit="1" customWidth="1"/>
    <col min="15" max="15" width="13.140625" hidden="1" customWidth="1"/>
    <col min="16" max="16" width="10.5703125" hidden="1" customWidth="1"/>
    <col min="17" max="17" width="12.140625" bestFit="1" customWidth="1"/>
    <col min="18" max="18" width="12.140625" style="16" bestFit="1" customWidth="1"/>
    <col min="19" max="22" width="13.28515625" style="16" customWidth="1"/>
    <col min="23" max="23" width="15.85546875" style="16" customWidth="1"/>
    <col min="24" max="24" width="16.5703125" style="2" bestFit="1" customWidth="1"/>
    <col min="25" max="26" width="13" customWidth="1"/>
    <col min="27" max="27" width="9.5703125" bestFit="1" customWidth="1"/>
  </cols>
  <sheetData>
    <row r="1" spans="1:28" ht="21" x14ac:dyDescent="0.35">
      <c r="A1" s="19" t="s">
        <v>126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4"/>
    </row>
    <row r="2" spans="1:28" x14ac:dyDescent="0.25">
      <c r="A2" s="20" t="s">
        <v>28</v>
      </c>
    </row>
    <row r="3" spans="1:28" x14ac:dyDescent="0.25">
      <c r="A3" s="21" t="s">
        <v>0</v>
      </c>
      <c r="B3" s="21" t="s">
        <v>24</v>
      </c>
      <c r="C3" s="21" t="s">
        <v>1</v>
      </c>
      <c r="D3" s="22" t="s">
        <v>2</v>
      </c>
      <c r="E3" s="22" t="s">
        <v>25</v>
      </c>
      <c r="F3" s="22" t="s">
        <v>27</v>
      </c>
      <c r="G3" s="22" t="s">
        <v>22</v>
      </c>
      <c r="H3" s="22" t="s">
        <v>3</v>
      </c>
      <c r="I3" s="27" t="s">
        <v>4</v>
      </c>
      <c r="J3" s="27" t="s">
        <v>5</v>
      </c>
      <c r="K3" s="27" t="s">
        <v>11</v>
      </c>
      <c r="L3" s="27" t="s">
        <v>6</v>
      </c>
      <c r="M3" s="27" t="s">
        <v>7</v>
      </c>
      <c r="N3" s="22" t="s">
        <v>23</v>
      </c>
      <c r="O3" s="27" t="s">
        <v>18</v>
      </c>
      <c r="P3" s="27" t="s">
        <v>19</v>
      </c>
      <c r="Q3" s="22" t="s">
        <v>20</v>
      </c>
      <c r="R3" s="23" t="s">
        <v>13</v>
      </c>
      <c r="S3" s="23" t="s">
        <v>14</v>
      </c>
      <c r="T3" s="23" t="s">
        <v>15</v>
      </c>
      <c r="U3" s="23" t="s">
        <v>16</v>
      </c>
      <c r="V3" s="23" t="s">
        <v>17</v>
      </c>
      <c r="W3" s="24" t="s">
        <v>26</v>
      </c>
      <c r="X3" s="25" t="s">
        <v>21</v>
      </c>
      <c r="Y3" s="29" t="s">
        <v>8</v>
      </c>
      <c r="Z3" s="15"/>
      <c r="AA3" t="s">
        <v>12</v>
      </c>
    </row>
    <row r="4" spans="1:28" s="11" customFormat="1" ht="15.75" customHeight="1" x14ac:dyDescent="0.25">
      <c r="A4" s="35">
        <v>46082</v>
      </c>
      <c r="B4" s="35">
        <v>46054</v>
      </c>
      <c r="C4" s="35">
        <v>46082</v>
      </c>
      <c r="D4" s="5">
        <v>7277</v>
      </c>
      <c r="E4" s="5">
        <v>48002</v>
      </c>
      <c r="F4" s="5" t="s">
        <v>31</v>
      </c>
      <c r="G4" s="6" t="s">
        <v>29</v>
      </c>
      <c r="H4" s="9" t="s">
        <v>46</v>
      </c>
      <c r="I4" s="5"/>
      <c r="J4" s="5"/>
      <c r="K4" s="4"/>
      <c r="L4" s="4"/>
      <c r="M4" s="4"/>
      <c r="N4" s="4" t="s">
        <v>58</v>
      </c>
      <c r="O4" s="7"/>
      <c r="P4" s="7"/>
      <c r="Q4" s="17">
        <v>3434</v>
      </c>
      <c r="R4" s="17">
        <v>3434</v>
      </c>
      <c r="S4" s="17">
        <v>226.64</v>
      </c>
      <c r="T4" s="17">
        <v>68.680000000000007</v>
      </c>
      <c r="U4" s="17">
        <v>0</v>
      </c>
      <c r="V4" s="17">
        <v>3138.68</v>
      </c>
      <c r="W4" s="17">
        <f>R4-S4-T4</f>
        <v>3138.6800000000003</v>
      </c>
      <c r="X4" s="8">
        <f>V4</f>
        <v>3138.68</v>
      </c>
      <c r="Y4" s="4">
        <v>46112</v>
      </c>
      <c r="Z4" s="18">
        <f>R4-S4-T4-U4-V4</f>
        <v>0</v>
      </c>
      <c r="AA4" s="12">
        <v>5952</v>
      </c>
      <c r="AB4" s="13">
        <v>4.65E-2</v>
      </c>
    </row>
    <row r="5" spans="1:28" s="11" customFormat="1" ht="15.75" customHeight="1" x14ac:dyDescent="0.25">
      <c r="A5" s="35">
        <v>46082</v>
      </c>
      <c r="B5" s="35">
        <v>46054</v>
      </c>
      <c r="C5" s="35">
        <v>46082</v>
      </c>
      <c r="D5" s="5">
        <v>82877</v>
      </c>
      <c r="E5" s="5">
        <v>47995</v>
      </c>
      <c r="F5" s="5" t="s">
        <v>32</v>
      </c>
      <c r="G5" s="6" t="s">
        <v>29</v>
      </c>
      <c r="H5" s="9" t="s">
        <v>47</v>
      </c>
      <c r="I5" s="5"/>
      <c r="J5" s="5"/>
      <c r="K5" s="4"/>
      <c r="L5" s="4"/>
      <c r="M5" s="4"/>
      <c r="N5" s="4" t="s">
        <v>58</v>
      </c>
      <c r="O5" s="7"/>
      <c r="P5" s="7"/>
      <c r="Q5" s="17">
        <v>3672</v>
      </c>
      <c r="R5" s="17">
        <v>3672</v>
      </c>
      <c r="S5" s="17">
        <v>242.35</v>
      </c>
      <c r="T5" s="17">
        <v>73.44</v>
      </c>
      <c r="U5" s="17">
        <v>0</v>
      </c>
      <c r="V5" s="17">
        <v>3356.21</v>
      </c>
      <c r="W5" s="17">
        <f>R5-S5-T5</f>
        <v>3356.21</v>
      </c>
      <c r="X5" s="8">
        <f>V5</f>
        <v>3356.21</v>
      </c>
      <c r="Y5" s="4">
        <v>46112</v>
      </c>
      <c r="Z5" s="18">
        <f>R5-S5-T5-U5-V5</f>
        <v>0</v>
      </c>
      <c r="AA5" s="12">
        <v>5952</v>
      </c>
      <c r="AB5" s="13">
        <v>4.65E-2</v>
      </c>
    </row>
    <row r="6" spans="1:28" s="11" customFormat="1" ht="15.75" customHeight="1" x14ac:dyDescent="0.25">
      <c r="A6" s="35">
        <v>46082</v>
      </c>
      <c r="B6" s="35">
        <v>46054</v>
      </c>
      <c r="C6" s="35">
        <v>46082</v>
      </c>
      <c r="D6" s="5">
        <v>82942</v>
      </c>
      <c r="E6" s="5">
        <v>48028</v>
      </c>
      <c r="F6" s="5" t="s">
        <v>127</v>
      </c>
      <c r="G6" s="6" t="s">
        <v>29</v>
      </c>
      <c r="H6" s="9" t="s">
        <v>128</v>
      </c>
      <c r="I6" s="5"/>
      <c r="J6" s="5"/>
      <c r="K6" s="4"/>
      <c r="L6" s="4"/>
      <c r="M6" s="4"/>
      <c r="N6" s="4" t="s">
        <v>58</v>
      </c>
      <c r="O6" s="7"/>
      <c r="P6" s="7"/>
      <c r="Q6" s="17">
        <v>408</v>
      </c>
      <c r="R6" s="17">
        <v>408</v>
      </c>
      <c r="S6" s="17">
        <v>26.93</v>
      </c>
      <c r="T6" s="17">
        <v>8.16</v>
      </c>
      <c r="U6" s="17">
        <v>0</v>
      </c>
      <c r="V6" s="17">
        <v>372.91</v>
      </c>
      <c r="W6" s="17">
        <f>R6-S6-T6</f>
        <v>372.90999999999997</v>
      </c>
      <c r="X6" s="8">
        <f>V6</f>
        <v>372.91</v>
      </c>
      <c r="Y6" s="4">
        <v>46112</v>
      </c>
      <c r="Z6" s="18">
        <f>R6-S6-T6-U6-V6</f>
        <v>0</v>
      </c>
      <c r="AA6" s="12">
        <v>5952</v>
      </c>
      <c r="AB6" s="13">
        <v>4.65E-2</v>
      </c>
    </row>
    <row r="7" spans="1:28" s="11" customFormat="1" ht="15.75" customHeight="1" x14ac:dyDescent="0.25">
      <c r="A7" s="35">
        <v>46082</v>
      </c>
      <c r="B7" s="35">
        <v>46054</v>
      </c>
      <c r="C7" s="35">
        <v>46082</v>
      </c>
      <c r="D7" s="5">
        <v>9468</v>
      </c>
      <c r="E7" s="5">
        <v>48016</v>
      </c>
      <c r="F7" s="5" t="s">
        <v>33</v>
      </c>
      <c r="G7" s="6" t="s">
        <v>29</v>
      </c>
      <c r="H7" s="9" t="s">
        <v>48</v>
      </c>
      <c r="I7" s="5"/>
      <c r="J7" s="5"/>
      <c r="K7" s="4"/>
      <c r="L7" s="4"/>
      <c r="M7" s="4"/>
      <c r="N7" s="4" t="s">
        <v>59</v>
      </c>
      <c r="O7" s="7"/>
      <c r="P7" s="7"/>
      <c r="Q7" s="17">
        <v>6664</v>
      </c>
      <c r="R7" s="17">
        <v>6664</v>
      </c>
      <c r="S7" s="17">
        <v>439.82</v>
      </c>
      <c r="T7" s="17">
        <v>133.28</v>
      </c>
      <c r="U7" s="17">
        <v>741</v>
      </c>
      <c r="V7" s="17">
        <v>5349.9</v>
      </c>
      <c r="W7" s="17">
        <f>R7-S7-T7</f>
        <v>6090.9000000000005</v>
      </c>
      <c r="X7" s="8">
        <f>V7</f>
        <v>5349.9</v>
      </c>
      <c r="Y7" s="4">
        <v>46112</v>
      </c>
      <c r="Z7" s="18">
        <f>R7-S7-T7-U7-V7</f>
        <v>0</v>
      </c>
      <c r="AA7" s="12">
        <v>5952</v>
      </c>
      <c r="AB7" s="13">
        <v>4.65E-2</v>
      </c>
    </row>
    <row r="8" spans="1:28" s="11" customFormat="1" ht="15.75" customHeight="1" x14ac:dyDescent="0.25">
      <c r="A8" s="35">
        <v>46082</v>
      </c>
      <c r="B8" s="35">
        <v>46054</v>
      </c>
      <c r="C8" s="35">
        <v>46082</v>
      </c>
      <c r="D8" s="5">
        <v>82737</v>
      </c>
      <c r="E8" s="5">
        <v>48023</v>
      </c>
      <c r="F8" s="5" t="s">
        <v>34</v>
      </c>
      <c r="G8" s="6" t="s">
        <v>29</v>
      </c>
      <c r="H8" s="9" t="s">
        <v>49</v>
      </c>
      <c r="I8" s="5"/>
      <c r="J8" s="5"/>
      <c r="K8" s="4"/>
      <c r="L8" s="4"/>
      <c r="M8" s="4"/>
      <c r="N8" s="4" t="s">
        <v>58</v>
      </c>
      <c r="O8" s="7"/>
      <c r="P8" s="7"/>
      <c r="Q8" s="17">
        <v>510</v>
      </c>
      <c r="R8" s="17">
        <v>510</v>
      </c>
      <c r="S8" s="17">
        <v>33.659999999999997</v>
      </c>
      <c r="T8" s="17">
        <v>10.199999999999999</v>
      </c>
      <c r="U8" s="17">
        <v>0</v>
      </c>
      <c r="V8" s="17">
        <v>466.14</v>
      </c>
      <c r="W8" s="17">
        <f t="shared" ref="W8" si="0">R8-S8-T8</f>
        <v>466.14000000000004</v>
      </c>
      <c r="X8" s="8">
        <f t="shared" ref="X8" si="1">V8</f>
        <v>466.14</v>
      </c>
      <c r="Y8" s="4">
        <v>46112</v>
      </c>
      <c r="Z8" s="18">
        <f t="shared" ref="Z8" si="2">R8-S8-T8-U8-V8</f>
        <v>0</v>
      </c>
      <c r="AA8" s="12">
        <v>5952</v>
      </c>
      <c r="AB8" s="13">
        <v>4.65E-2</v>
      </c>
    </row>
    <row r="9" spans="1:28" s="11" customFormat="1" ht="15.75" customHeight="1" x14ac:dyDescent="0.25">
      <c r="A9" s="35">
        <v>46082</v>
      </c>
      <c r="B9" s="35">
        <v>46054</v>
      </c>
      <c r="C9" s="35">
        <v>46082</v>
      </c>
      <c r="D9" s="5">
        <v>15698</v>
      </c>
      <c r="E9" s="5">
        <v>48013</v>
      </c>
      <c r="F9" s="5" t="s">
        <v>36</v>
      </c>
      <c r="G9" s="6" t="s">
        <v>29</v>
      </c>
      <c r="H9" s="9" t="s">
        <v>50</v>
      </c>
      <c r="I9" s="5"/>
      <c r="J9" s="5"/>
      <c r="K9" s="4"/>
      <c r="L9" s="4"/>
      <c r="M9" s="4"/>
      <c r="N9" s="4" t="s">
        <v>59</v>
      </c>
      <c r="O9" s="7"/>
      <c r="P9" s="7"/>
      <c r="Q9" s="17">
        <v>6834</v>
      </c>
      <c r="R9" s="17">
        <v>6834</v>
      </c>
      <c r="S9" s="17">
        <v>451.04</v>
      </c>
      <c r="T9" s="17">
        <v>136.68</v>
      </c>
      <c r="U9" s="17">
        <v>810.38</v>
      </c>
      <c r="V9" s="17">
        <v>5435.9</v>
      </c>
      <c r="W9" s="17">
        <f t="shared" ref="W9:W17" si="3">R9-S9-T9</f>
        <v>6246.28</v>
      </c>
      <c r="X9" s="8">
        <f t="shared" ref="X9:X17" si="4">V9</f>
        <v>5435.9</v>
      </c>
      <c r="Y9" s="4">
        <v>46112</v>
      </c>
      <c r="Z9" s="18">
        <f t="shared" ref="Z9:Z17" si="5">R9-S9-T9-U9-V9</f>
        <v>0</v>
      </c>
      <c r="AA9" s="12">
        <v>5952</v>
      </c>
      <c r="AB9" s="13">
        <v>4.65E-2</v>
      </c>
    </row>
    <row r="10" spans="1:28" s="11" customFormat="1" ht="15.75" customHeight="1" x14ac:dyDescent="0.25">
      <c r="A10" s="35">
        <v>46082</v>
      </c>
      <c r="B10" s="35">
        <v>46054</v>
      </c>
      <c r="C10" s="35">
        <v>46082</v>
      </c>
      <c r="D10" s="5">
        <v>8834</v>
      </c>
      <c r="E10" s="5">
        <v>48014</v>
      </c>
      <c r="F10" s="5" t="s">
        <v>37</v>
      </c>
      <c r="G10" s="6" t="s">
        <v>29</v>
      </c>
      <c r="H10" s="9" t="s">
        <v>51</v>
      </c>
      <c r="I10" s="5"/>
      <c r="J10" s="5"/>
      <c r="K10" s="4"/>
      <c r="L10" s="4"/>
      <c r="M10" s="4"/>
      <c r="N10" s="4" t="s">
        <v>59</v>
      </c>
      <c r="O10" s="7"/>
      <c r="P10" s="7"/>
      <c r="Q10" s="17">
        <v>3196</v>
      </c>
      <c r="R10" s="17">
        <v>3196</v>
      </c>
      <c r="S10" s="17">
        <v>210.94</v>
      </c>
      <c r="T10" s="17">
        <v>63.92</v>
      </c>
      <c r="U10" s="17">
        <v>0</v>
      </c>
      <c r="V10" s="17">
        <v>2921.14</v>
      </c>
      <c r="W10" s="17">
        <f t="shared" ref="W10:W11" si="6">R10-S10-T10</f>
        <v>2921.14</v>
      </c>
      <c r="X10" s="8">
        <f t="shared" ref="X10:X11" si="7">V10</f>
        <v>2921.14</v>
      </c>
      <c r="Y10" s="4">
        <v>46112</v>
      </c>
      <c r="Z10" s="18">
        <f t="shared" ref="Z10:Z11" si="8">R10-S10-T10-U10-V10</f>
        <v>0</v>
      </c>
      <c r="AA10" s="12">
        <v>5952</v>
      </c>
      <c r="AB10" s="13">
        <v>4.65E-2</v>
      </c>
    </row>
    <row r="11" spans="1:28" s="11" customFormat="1" ht="15.75" customHeight="1" x14ac:dyDescent="0.25">
      <c r="A11" s="35">
        <v>46082</v>
      </c>
      <c r="B11" s="35">
        <v>46054</v>
      </c>
      <c r="C11" s="35">
        <v>46082</v>
      </c>
      <c r="D11" s="5">
        <v>9947</v>
      </c>
      <c r="E11" s="5">
        <v>47998</v>
      </c>
      <c r="F11" s="5" t="s">
        <v>38</v>
      </c>
      <c r="G11" s="6" t="s">
        <v>29</v>
      </c>
      <c r="H11" s="9" t="s">
        <v>52</v>
      </c>
      <c r="I11" s="5"/>
      <c r="J11" s="5"/>
      <c r="K11" s="4"/>
      <c r="L11" s="4"/>
      <c r="M11" s="4"/>
      <c r="N11" s="4" t="s">
        <v>58</v>
      </c>
      <c r="O11" s="7"/>
      <c r="P11" s="7"/>
      <c r="Q11" s="17">
        <v>3910</v>
      </c>
      <c r="R11" s="17">
        <v>3910</v>
      </c>
      <c r="S11" s="17">
        <v>258.06</v>
      </c>
      <c r="T11" s="17">
        <v>78.2</v>
      </c>
      <c r="U11" s="17">
        <v>0</v>
      </c>
      <c r="V11" s="17">
        <v>3573.74</v>
      </c>
      <c r="W11" s="17">
        <f t="shared" si="6"/>
        <v>3573.7400000000002</v>
      </c>
      <c r="X11" s="8">
        <f t="shared" si="7"/>
        <v>3573.74</v>
      </c>
      <c r="Y11" s="4">
        <v>46112</v>
      </c>
      <c r="Z11" s="18">
        <f t="shared" si="8"/>
        <v>0</v>
      </c>
      <c r="AA11" s="12">
        <v>5952</v>
      </c>
      <c r="AB11" s="13">
        <v>4.65E-2</v>
      </c>
    </row>
    <row r="12" spans="1:28" s="11" customFormat="1" ht="15.75" customHeight="1" x14ac:dyDescent="0.25">
      <c r="A12" s="35">
        <v>46082</v>
      </c>
      <c r="B12" s="35">
        <v>46054</v>
      </c>
      <c r="C12" s="35">
        <v>46082</v>
      </c>
      <c r="D12" s="5">
        <v>9097</v>
      </c>
      <c r="E12" s="5">
        <v>48018</v>
      </c>
      <c r="F12" s="5" t="s">
        <v>39</v>
      </c>
      <c r="G12" s="6" t="s">
        <v>29</v>
      </c>
      <c r="H12" s="9" t="s">
        <v>53</v>
      </c>
      <c r="I12" s="5"/>
      <c r="J12" s="5"/>
      <c r="K12" s="4"/>
      <c r="L12" s="4"/>
      <c r="M12" s="4"/>
      <c r="N12" s="4" t="s">
        <v>58</v>
      </c>
      <c r="O12" s="7"/>
      <c r="P12" s="7"/>
      <c r="Q12" s="17">
        <v>1428</v>
      </c>
      <c r="R12" s="17">
        <v>1428</v>
      </c>
      <c r="S12" s="17">
        <v>94.25</v>
      </c>
      <c r="T12" s="17">
        <v>28.56</v>
      </c>
      <c r="U12" s="17">
        <v>0</v>
      </c>
      <c r="V12" s="17">
        <v>1305.19</v>
      </c>
      <c r="W12" s="17">
        <f t="shared" si="3"/>
        <v>1305.19</v>
      </c>
      <c r="X12" s="8">
        <f t="shared" si="4"/>
        <v>1305.19</v>
      </c>
      <c r="Y12" s="4">
        <v>46112</v>
      </c>
      <c r="Z12" s="18">
        <f t="shared" si="5"/>
        <v>0</v>
      </c>
      <c r="AA12" s="12">
        <v>5952</v>
      </c>
      <c r="AB12" s="13">
        <v>4.65E-2</v>
      </c>
    </row>
    <row r="13" spans="1:28" s="11" customFormat="1" ht="15.75" customHeight="1" x14ac:dyDescent="0.25">
      <c r="A13" s="35">
        <v>46082</v>
      </c>
      <c r="B13" s="35">
        <v>46054</v>
      </c>
      <c r="C13" s="35">
        <v>46082</v>
      </c>
      <c r="D13" s="5">
        <v>7924</v>
      </c>
      <c r="E13" s="5">
        <v>47992</v>
      </c>
      <c r="F13" s="5" t="s">
        <v>41</v>
      </c>
      <c r="G13" s="6" t="s">
        <v>29</v>
      </c>
      <c r="H13" s="9" t="s">
        <v>54</v>
      </c>
      <c r="I13" s="5"/>
      <c r="J13" s="5"/>
      <c r="K13" s="4"/>
      <c r="L13" s="4"/>
      <c r="M13" s="4"/>
      <c r="N13" s="4" t="s">
        <v>59</v>
      </c>
      <c r="O13" s="7"/>
      <c r="P13" s="7"/>
      <c r="Q13" s="17">
        <v>8712</v>
      </c>
      <c r="R13" s="17">
        <v>8712</v>
      </c>
      <c r="S13" s="17">
        <v>574.99</v>
      </c>
      <c r="T13" s="17">
        <v>174.24</v>
      </c>
      <c r="U13" s="17">
        <v>1368.32</v>
      </c>
      <c r="V13" s="17">
        <v>6594.45</v>
      </c>
      <c r="W13" s="17">
        <f t="shared" ref="W13" si="9">R13-S13-T13</f>
        <v>7962.77</v>
      </c>
      <c r="X13" s="8">
        <f t="shared" ref="X13" si="10">V13</f>
        <v>6594.45</v>
      </c>
      <c r="Y13" s="4">
        <v>46112</v>
      </c>
      <c r="Z13" s="18">
        <f t="shared" ref="Z13" si="11">R13-S13-T13-U13-V13</f>
        <v>0</v>
      </c>
      <c r="AA13" s="12">
        <v>5952</v>
      </c>
      <c r="AB13" s="13">
        <v>4.65E-2</v>
      </c>
    </row>
    <row r="14" spans="1:28" s="11" customFormat="1" ht="15.75" customHeight="1" x14ac:dyDescent="0.25">
      <c r="A14" s="35">
        <v>46082</v>
      </c>
      <c r="B14" s="35">
        <v>46054</v>
      </c>
      <c r="C14" s="35">
        <v>46082</v>
      </c>
      <c r="D14" s="5">
        <v>8589</v>
      </c>
      <c r="E14" s="5">
        <v>47993</v>
      </c>
      <c r="F14" s="5" t="s">
        <v>42</v>
      </c>
      <c r="G14" s="6" t="s">
        <v>29</v>
      </c>
      <c r="H14" s="9" t="s">
        <v>55</v>
      </c>
      <c r="I14" s="5"/>
      <c r="J14" s="5"/>
      <c r="K14" s="4"/>
      <c r="L14" s="4"/>
      <c r="M14" s="4"/>
      <c r="N14" s="4" t="s">
        <v>59</v>
      </c>
      <c r="O14" s="7"/>
      <c r="P14" s="7"/>
      <c r="Q14" s="17">
        <v>2278</v>
      </c>
      <c r="R14" s="17">
        <v>2278</v>
      </c>
      <c r="S14" s="17">
        <v>150.35</v>
      </c>
      <c r="T14" s="17">
        <v>45.56</v>
      </c>
      <c r="U14" s="17">
        <v>0</v>
      </c>
      <c r="V14" s="17">
        <v>2082.09</v>
      </c>
      <c r="W14" s="17">
        <f t="shared" si="3"/>
        <v>2082.09</v>
      </c>
      <c r="X14" s="8">
        <f t="shared" si="4"/>
        <v>2082.09</v>
      </c>
      <c r="Y14" s="4">
        <v>46112</v>
      </c>
      <c r="Z14" s="18">
        <f t="shared" si="5"/>
        <v>0</v>
      </c>
      <c r="AA14" s="12">
        <v>5952</v>
      </c>
      <c r="AB14" s="13">
        <v>4.65E-2</v>
      </c>
    </row>
    <row r="15" spans="1:28" s="11" customFormat="1" ht="15.75" customHeight="1" x14ac:dyDescent="0.25">
      <c r="A15" s="35">
        <v>46082</v>
      </c>
      <c r="B15" s="35">
        <v>46054</v>
      </c>
      <c r="C15" s="35">
        <v>46082</v>
      </c>
      <c r="D15" s="5">
        <v>15541</v>
      </c>
      <c r="E15" s="5">
        <v>48025</v>
      </c>
      <c r="F15" s="5" t="s">
        <v>121</v>
      </c>
      <c r="G15" s="6" t="s">
        <v>29</v>
      </c>
      <c r="H15" s="9" t="s">
        <v>122</v>
      </c>
      <c r="I15" s="5"/>
      <c r="J15" s="5"/>
      <c r="K15" s="4"/>
      <c r="L15" s="4"/>
      <c r="M15" s="4"/>
      <c r="N15" s="4" t="s">
        <v>59</v>
      </c>
      <c r="O15" s="7"/>
      <c r="P15" s="7"/>
      <c r="Q15" s="17">
        <v>1020</v>
      </c>
      <c r="R15" s="17">
        <v>1020</v>
      </c>
      <c r="S15" s="17">
        <v>67.319999999999993</v>
      </c>
      <c r="T15" s="17">
        <v>20.399999999999999</v>
      </c>
      <c r="U15" s="17">
        <v>0</v>
      </c>
      <c r="V15" s="17">
        <v>932.28</v>
      </c>
      <c r="W15" s="17">
        <f t="shared" si="3"/>
        <v>932.28000000000009</v>
      </c>
      <c r="X15" s="8">
        <f t="shared" si="4"/>
        <v>932.28</v>
      </c>
      <c r="Y15" s="4">
        <v>46112</v>
      </c>
      <c r="Z15" s="18">
        <f t="shared" si="5"/>
        <v>0</v>
      </c>
      <c r="AA15" s="12">
        <v>5952</v>
      </c>
      <c r="AB15" s="13">
        <v>4.65E-2</v>
      </c>
    </row>
    <row r="16" spans="1:28" s="11" customFormat="1" ht="15.75" customHeight="1" x14ac:dyDescent="0.25">
      <c r="A16" s="35">
        <v>46082</v>
      </c>
      <c r="B16" s="35">
        <v>46054</v>
      </c>
      <c r="C16" s="35">
        <v>46082</v>
      </c>
      <c r="D16" s="5">
        <v>7577</v>
      </c>
      <c r="E16" s="5">
        <v>48026</v>
      </c>
      <c r="F16" s="5" t="s">
        <v>43</v>
      </c>
      <c r="G16" s="6" t="s">
        <v>29</v>
      </c>
      <c r="H16" s="9" t="s">
        <v>56</v>
      </c>
      <c r="I16" s="5"/>
      <c r="J16" s="5"/>
      <c r="K16" s="4"/>
      <c r="L16" s="4"/>
      <c r="M16" s="4"/>
      <c r="N16" s="4" t="s">
        <v>58</v>
      </c>
      <c r="O16" s="7"/>
      <c r="P16" s="7"/>
      <c r="Q16" s="17">
        <v>782</v>
      </c>
      <c r="R16" s="17">
        <v>782</v>
      </c>
      <c r="S16" s="17">
        <v>51.61</v>
      </c>
      <c r="T16" s="17">
        <v>15.64</v>
      </c>
      <c r="U16" s="17">
        <v>0</v>
      </c>
      <c r="V16" s="17">
        <v>714.75</v>
      </c>
      <c r="W16" s="17">
        <f t="shared" si="3"/>
        <v>714.75</v>
      </c>
      <c r="X16" s="8">
        <f t="shared" si="4"/>
        <v>714.75</v>
      </c>
      <c r="Y16" s="4">
        <v>46112</v>
      </c>
      <c r="Z16" s="18">
        <f t="shared" si="5"/>
        <v>0</v>
      </c>
      <c r="AA16" s="12">
        <v>5952</v>
      </c>
      <c r="AB16" s="13">
        <v>4.65E-2</v>
      </c>
    </row>
    <row r="17" spans="1:28" s="11" customFormat="1" ht="15.75" customHeight="1" x14ac:dyDescent="0.25">
      <c r="A17" s="35">
        <v>46082</v>
      </c>
      <c r="B17" s="35">
        <v>46054</v>
      </c>
      <c r="C17" s="35">
        <v>46082</v>
      </c>
      <c r="D17" s="5">
        <v>15934</v>
      </c>
      <c r="E17" s="5">
        <v>48021</v>
      </c>
      <c r="F17" s="5" t="s">
        <v>45</v>
      </c>
      <c r="G17" s="6" t="s">
        <v>29</v>
      </c>
      <c r="H17" s="9" t="s">
        <v>57</v>
      </c>
      <c r="I17" s="5"/>
      <c r="J17" s="5"/>
      <c r="K17" s="4"/>
      <c r="L17" s="4"/>
      <c r="M17" s="4"/>
      <c r="N17" s="4" t="s">
        <v>59</v>
      </c>
      <c r="O17" s="7"/>
      <c r="P17" s="7"/>
      <c r="Q17" s="17">
        <v>3774</v>
      </c>
      <c r="R17" s="17">
        <v>3774</v>
      </c>
      <c r="S17" s="17">
        <v>249.08</v>
      </c>
      <c r="T17" s="17">
        <v>75.48</v>
      </c>
      <c r="U17" s="17">
        <v>0</v>
      </c>
      <c r="V17" s="17">
        <v>3449.44</v>
      </c>
      <c r="W17" s="17">
        <f t="shared" si="3"/>
        <v>3449.44</v>
      </c>
      <c r="X17" s="8">
        <f t="shared" si="4"/>
        <v>3449.44</v>
      </c>
      <c r="Y17" s="4">
        <v>46112</v>
      </c>
      <c r="Z17" s="18">
        <f t="shared" si="5"/>
        <v>0</v>
      </c>
      <c r="AA17" s="12">
        <v>5952</v>
      </c>
      <c r="AB17" s="13">
        <v>4.65E-2</v>
      </c>
    </row>
    <row r="18" spans="1:28" s="34" customFormat="1" x14ac:dyDescent="0.25">
      <c r="A18" s="26" t="s">
        <v>9</v>
      </c>
      <c r="B18" s="26"/>
      <c r="C18" s="30"/>
      <c r="D18" s="30"/>
      <c r="E18" s="30"/>
      <c r="F18" s="30"/>
      <c r="G18" s="31"/>
      <c r="H18" s="32"/>
      <c r="I18" s="30"/>
      <c r="J18" s="30"/>
      <c r="K18" s="30"/>
      <c r="L18" s="30"/>
      <c r="M18" s="30"/>
      <c r="N18" s="30"/>
      <c r="O18" s="30"/>
      <c r="P18" s="30"/>
      <c r="Q18" s="33">
        <f t="shared" ref="Q18:X18" si="12">SUM(Q4:Q17)</f>
        <v>46622</v>
      </c>
      <c r="R18" s="33">
        <f t="shared" si="12"/>
        <v>46622</v>
      </c>
      <c r="S18" s="33">
        <f t="shared" si="12"/>
        <v>3077.0400000000004</v>
      </c>
      <c r="T18" s="33">
        <f t="shared" si="12"/>
        <v>932.44</v>
      </c>
      <c r="U18" s="33">
        <f t="shared" si="12"/>
        <v>2919.7</v>
      </c>
      <c r="V18" s="33">
        <f t="shared" si="12"/>
        <v>39692.819999999992</v>
      </c>
      <c r="W18" s="33">
        <f t="shared" si="12"/>
        <v>42612.520000000004</v>
      </c>
      <c r="X18" s="33">
        <f t="shared" si="12"/>
        <v>39692.819999999992</v>
      </c>
      <c r="Y18" s="30"/>
    </row>
    <row r="19" spans="1:28" x14ac:dyDescent="0.25">
      <c r="Q19" s="28"/>
    </row>
    <row r="20" spans="1:28" x14ac:dyDescent="0.25">
      <c r="Q20" s="28"/>
    </row>
  </sheetData>
  <pageMargins left="0" right="0" top="0" bottom="0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4"/>
  <sheetViews>
    <sheetView zoomScale="85" zoomScaleNormal="85" workbookViewId="0">
      <pane ySplit="3" topLeftCell="A16" activePane="bottomLeft" state="frozen"/>
      <selection activeCell="R25" sqref="R25"/>
      <selection pane="bottomLeft" activeCell="A8" sqref="A8:C8"/>
    </sheetView>
  </sheetViews>
  <sheetFormatPr defaultRowHeight="15" x14ac:dyDescent="0.25"/>
  <cols>
    <col min="1" max="1" width="6.5703125" style="1" bestFit="1" customWidth="1"/>
    <col min="2" max="2" width="10.5703125" style="1" bestFit="1" customWidth="1"/>
    <col min="3" max="3" width="9.85546875" bestFit="1" customWidth="1"/>
    <col min="4" max="4" width="8.28515625" bestFit="1" customWidth="1"/>
    <col min="5" max="5" width="6.140625" bestFit="1" customWidth="1"/>
    <col min="6" max="6" width="76.7109375" bestFit="1" customWidth="1"/>
    <col min="7" max="7" width="4.85546875" style="3" bestFit="1" customWidth="1"/>
    <col min="8" max="8" width="18.140625" style="10" bestFit="1" customWidth="1"/>
    <col min="9" max="9" width="13.140625" hidden="1" customWidth="1"/>
    <col min="10" max="10" width="7.28515625" hidden="1" customWidth="1"/>
    <col min="11" max="11" width="9.140625" hidden="1" customWidth="1"/>
    <col min="12" max="12" width="13.28515625" hidden="1" customWidth="1"/>
    <col min="13" max="13" width="9.7109375" hidden="1" customWidth="1"/>
    <col min="14" max="14" width="50.5703125" bestFit="1" customWidth="1"/>
    <col min="15" max="15" width="11.42578125" style="2" hidden="1" customWidth="1"/>
    <col min="16" max="16" width="9.85546875" style="2" hidden="1" customWidth="1"/>
    <col min="17" max="17" width="11.5703125" style="2" bestFit="1" customWidth="1"/>
    <col min="18" max="18" width="11.7109375" style="16" bestFit="1" customWidth="1"/>
    <col min="19" max="21" width="9.5703125" style="16" bestFit="1" customWidth="1"/>
    <col min="22" max="22" width="11.5703125" style="16" bestFit="1" customWidth="1"/>
    <col min="23" max="23" width="16.7109375" style="16" bestFit="1" customWidth="1"/>
    <col min="24" max="24" width="13.85546875" style="16" bestFit="1" customWidth="1"/>
    <col min="25" max="25" width="10.85546875" style="16" bestFit="1" customWidth="1"/>
    <col min="26" max="26" width="15.140625" style="16" customWidth="1"/>
    <col min="27" max="27" width="4.85546875" style="2" bestFit="1" customWidth="1"/>
    <col min="28" max="29" width="13" customWidth="1"/>
    <col min="30" max="30" width="9.5703125" bestFit="1" customWidth="1"/>
  </cols>
  <sheetData>
    <row r="1" spans="1:28" ht="21" x14ac:dyDescent="0.35">
      <c r="A1" s="19" t="s">
        <v>126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4"/>
      <c r="AA1"/>
    </row>
    <row r="2" spans="1:28" x14ac:dyDescent="0.25">
      <c r="A2" s="20" t="s">
        <v>28</v>
      </c>
      <c r="O2"/>
      <c r="P2"/>
      <c r="Q2"/>
      <c r="X2" s="2"/>
      <c r="Y2"/>
      <c r="Z2"/>
      <c r="AA2"/>
    </row>
    <row r="3" spans="1:28" x14ac:dyDescent="0.25">
      <c r="A3" s="21" t="s">
        <v>0</v>
      </c>
      <c r="B3" s="21" t="s">
        <v>24</v>
      </c>
      <c r="C3" s="21" t="s">
        <v>1</v>
      </c>
      <c r="D3" s="22" t="s">
        <v>2</v>
      </c>
      <c r="E3" s="22" t="s">
        <v>25</v>
      </c>
      <c r="F3" s="22" t="s">
        <v>10</v>
      </c>
      <c r="G3" s="22" t="s">
        <v>22</v>
      </c>
      <c r="H3" s="22" t="s">
        <v>3</v>
      </c>
      <c r="I3" s="27" t="s">
        <v>4</v>
      </c>
      <c r="J3" s="27" t="s">
        <v>5</v>
      </c>
      <c r="K3" s="27" t="s">
        <v>11</v>
      </c>
      <c r="L3" s="27" t="s">
        <v>6</v>
      </c>
      <c r="M3" s="27" t="s">
        <v>7</v>
      </c>
      <c r="N3" s="22" t="s">
        <v>23</v>
      </c>
      <c r="O3" s="27" t="s">
        <v>18</v>
      </c>
      <c r="P3" s="27" t="s">
        <v>19</v>
      </c>
      <c r="Q3" s="22" t="s">
        <v>20</v>
      </c>
      <c r="R3" s="23" t="s">
        <v>13</v>
      </c>
      <c r="S3" s="23" t="s">
        <v>14</v>
      </c>
      <c r="T3" s="23" t="s">
        <v>15</v>
      </c>
      <c r="U3" s="23" t="s">
        <v>16</v>
      </c>
      <c r="V3" s="23" t="s">
        <v>17</v>
      </c>
      <c r="W3" s="24" t="s">
        <v>26</v>
      </c>
      <c r="X3" s="25" t="s">
        <v>21</v>
      </c>
      <c r="Y3" s="29" t="s">
        <v>8</v>
      </c>
      <c r="Z3" s="15"/>
      <c r="AA3" t="s">
        <v>12</v>
      </c>
    </row>
    <row r="4" spans="1:28" s="11" customFormat="1" ht="15.75" customHeight="1" x14ac:dyDescent="0.25">
      <c r="A4" s="35">
        <v>46082</v>
      </c>
      <c r="B4" s="35">
        <v>46054</v>
      </c>
      <c r="C4" s="35">
        <v>46082</v>
      </c>
      <c r="D4" s="5">
        <v>9362</v>
      </c>
      <c r="E4" s="5">
        <v>47985</v>
      </c>
      <c r="F4" s="5" t="s">
        <v>60</v>
      </c>
      <c r="G4" s="6" t="s">
        <v>30</v>
      </c>
      <c r="H4" s="9" t="s">
        <v>87</v>
      </c>
      <c r="I4" s="5"/>
      <c r="J4" s="5"/>
      <c r="K4" s="4"/>
      <c r="L4" s="4"/>
      <c r="M4" s="4"/>
      <c r="N4" s="4" t="s">
        <v>114</v>
      </c>
      <c r="O4" s="7"/>
      <c r="P4" s="7"/>
      <c r="Q4" s="17">
        <v>14212</v>
      </c>
      <c r="R4" s="17">
        <v>14212</v>
      </c>
      <c r="S4" s="17">
        <v>0</v>
      </c>
      <c r="T4" s="17">
        <v>308.39999999999998</v>
      </c>
      <c r="U4" s="17">
        <v>0</v>
      </c>
      <c r="V4" s="17">
        <v>13903.6</v>
      </c>
      <c r="W4" s="17">
        <f>R4-S4-T4</f>
        <v>13903.6</v>
      </c>
      <c r="X4" s="8">
        <f>V4</f>
        <v>13903.6</v>
      </c>
      <c r="Y4" s="4">
        <v>46112</v>
      </c>
      <c r="Z4" s="18"/>
      <c r="AA4" s="12"/>
      <c r="AB4" s="13"/>
    </row>
    <row r="5" spans="1:28" s="11" customFormat="1" ht="15.75" customHeight="1" x14ac:dyDescent="0.25">
      <c r="A5" s="35">
        <v>46082</v>
      </c>
      <c r="B5" s="35">
        <v>46054</v>
      </c>
      <c r="C5" s="35">
        <v>46082</v>
      </c>
      <c r="D5" s="5">
        <v>14760</v>
      </c>
      <c r="E5" s="5">
        <v>48003</v>
      </c>
      <c r="F5" s="5" t="s">
        <v>61</v>
      </c>
      <c r="G5" s="6" t="s">
        <v>30</v>
      </c>
      <c r="H5" s="9" t="s">
        <v>88</v>
      </c>
      <c r="I5" s="5"/>
      <c r="J5" s="5"/>
      <c r="K5" s="4"/>
      <c r="L5" s="4"/>
      <c r="M5" s="4"/>
      <c r="N5" s="4" t="s">
        <v>115</v>
      </c>
      <c r="O5" s="7"/>
      <c r="P5" s="7"/>
      <c r="Q5" s="17">
        <v>16592</v>
      </c>
      <c r="R5" s="17">
        <v>16592</v>
      </c>
      <c r="S5" s="17">
        <v>0</v>
      </c>
      <c r="T5" s="17">
        <v>366.68</v>
      </c>
      <c r="U5" s="17">
        <v>0</v>
      </c>
      <c r="V5" s="17">
        <v>16225.32</v>
      </c>
      <c r="W5" s="17">
        <f>R5-S5-T5</f>
        <v>16225.32</v>
      </c>
      <c r="X5" s="8">
        <f>V5</f>
        <v>16225.32</v>
      </c>
      <c r="Y5" s="4">
        <v>46112</v>
      </c>
      <c r="Z5" s="18"/>
      <c r="AA5" s="12"/>
      <c r="AB5" s="13"/>
    </row>
    <row r="6" spans="1:28" s="11" customFormat="1" ht="15.75" customHeight="1" x14ac:dyDescent="0.25">
      <c r="A6" s="35">
        <v>46082</v>
      </c>
      <c r="B6" s="35">
        <v>46054</v>
      </c>
      <c r="C6" s="35">
        <v>46082</v>
      </c>
      <c r="D6" s="5">
        <v>15433</v>
      </c>
      <c r="E6" s="5">
        <v>47986</v>
      </c>
      <c r="F6" s="5" t="s">
        <v>62</v>
      </c>
      <c r="G6" s="6" t="s">
        <v>30</v>
      </c>
      <c r="H6" s="9" t="s">
        <v>89</v>
      </c>
      <c r="I6" s="5"/>
      <c r="J6" s="5"/>
      <c r="K6" s="4"/>
      <c r="L6" s="4"/>
      <c r="M6" s="4"/>
      <c r="N6" s="4" t="s">
        <v>115</v>
      </c>
      <c r="O6" s="7"/>
      <c r="P6" s="7"/>
      <c r="Q6" s="17">
        <v>8738</v>
      </c>
      <c r="R6" s="17">
        <v>8738</v>
      </c>
      <c r="S6" s="17">
        <v>0</v>
      </c>
      <c r="T6" s="17">
        <v>175.63</v>
      </c>
      <c r="U6" s="17">
        <v>0</v>
      </c>
      <c r="V6" s="17">
        <v>8562.3700000000008</v>
      </c>
      <c r="W6" s="17">
        <f t="shared" ref="W6:W8" si="0">R6-S6-T6</f>
        <v>8562.3700000000008</v>
      </c>
      <c r="X6" s="8">
        <f t="shared" ref="X6:X8" si="1">V6</f>
        <v>8562.3700000000008</v>
      </c>
      <c r="Y6" s="4">
        <v>46112</v>
      </c>
      <c r="Z6" s="18"/>
      <c r="AA6" s="12"/>
      <c r="AB6" s="13"/>
    </row>
    <row r="7" spans="1:28" s="11" customFormat="1" ht="15.75" customHeight="1" x14ac:dyDescent="0.25">
      <c r="A7" s="35">
        <v>46082</v>
      </c>
      <c r="B7" s="35">
        <v>46054</v>
      </c>
      <c r="C7" s="35">
        <v>46082</v>
      </c>
      <c r="D7" s="5">
        <v>5204</v>
      </c>
      <c r="E7" s="5">
        <v>47996</v>
      </c>
      <c r="F7" s="5" t="s">
        <v>63</v>
      </c>
      <c r="G7" s="6" t="s">
        <v>30</v>
      </c>
      <c r="H7" s="9" t="s">
        <v>90</v>
      </c>
      <c r="I7" s="5"/>
      <c r="J7" s="5"/>
      <c r="K7" s="4"/>
      <c r="L7" s="4"/>
      <c r="M7" s="4"/>
      <c r="N7" s="4" t="s">
        <v>114</v>
      </c>
      <c r="O7" s="7"/>
      <c r="P7" s="7"/>
      <c r="Q7" s="17">
        <v>13804</v>
      </c>
      <c r="R7" s="17">
        <v>13804</v>
      </c>
      <c r="S7" s="17">
        <v>0</v>
      </c>
      <c r="T7" s="17">
        <v>369.95</v>
      </c>
      <c r="U7" s="17">
        <v>0</v>
      </c>
      <c r="V7" s="17">
        <v>13434.05</v>
      </c>
      <c r="W7" s="17">
        <f t="shared" si="0"/>
        <v>13434.05</v>
      </c>
      <c r="X7" s="8">
        <f t="shared" si="1"/>
        <v>13434.05</v>
      </c>
      <c r="Y7" s="4">
        <v>46112</v>
      </c>
      <c r="Z7" s="18"/>
      <c r="AA7" s="12"/>
      <c r="AB7" s="13"/>
    </row>
    <row r="8" spans="1:28" s="11" customFormat="1" ht="15.75" customHeight="1" x14ac:dyDescent="0.25">
      <c r="A8" s="35">
        <v>46082</v>
      </c>
      <c r="B8" s="35">
        <v>46054</v>
      </c>
      <c r="C8" s="35">
        <v>46082</v>
      </c>
      <c r="D8" s="5">
        <v>7714</v>
      </c>
      <c r="E8" s="5">
        <v>48004</v>
      </c>
      <c r="F8" s="5" t="s">
        <v>64</v>
      </c>
      <c r="G8" s="6" t="s">
        <v>30</v>
      </c>
      <c r="H8" s="9" t="s">
        <v>91</v>
      </c>
      <c r="I8" s="5"/>
      <c r="J8" s="5"/>
      <c r="K8" s="4"/>
      <c r="L8" s="4"/>
      <c r="M8" s="4"/>
      <c r="N8" s="4" t="s">
        <v>115</v>
      </c>
      <c r="O8" s="7"/>
      <c r="P8" s="7"/>
      <c r="Q8" s="17">
        <v>12682</v>
      </c>
      <c r="R8" s="17">
        <v>12682</v>
      </c>
      <c r="S8" s="17">
        <v>0</v>
      </c>
      <c r="T8" s="17">
        <v>254.91</v>
      </c>
      <c r="U8" s="17">
        <v>0</v>
      </c>
      <c r="V8" s="17">
        <v>12427.09</v>
      </c>
      <c r="W8" s="17">
        <f t="shared" si="0"/>
        <v>12427.09</v>
      </c>
      <c r="X8" s="8">
        <f t="shared" si="1"/>
        <v>12427.09</v>
      </c>
      <c r="Y8" s="4">
        <v>46112</v>
      </c>
      <c r="Z8" s="18"/>
      <c r="AA8" s="12"/>
      <c r="AB8" s="13"/>
    </row>
    <row r="9" spans="1:28" s="11" customFormat="1" ht="15.75" customHeight="1" x14ac:dyDescent="0.25">
      <c r="A9" s="35">
        <v>46082</v>
      </c>
      <c r="B9" s="35">
        <v>46054</v>
      </c>
      <c r="C9" s="35">
        <v>46082</v>
      </c>
      <c r="D9" s="5">
        <v>8511</v>
      </c>
      <c r="E9" s="5">
        <v>48029</v>
      </c>
      <c r="F9" s="5" t="s">
        <v>65</v>
      </c>
      <c r="G9" s="6" t="s">
        <v>30</v>
      </c>
      <c r="H9" s="9" t="s">
        <v>92</v>
      </c>
      <c r="I9" s="5"/>
      <c r="J9" s="5"/>
      <c r="K9" s="4"/>
      <c r="L9" s="4"/>
      <c r="M9" s="4"/>
      <c r="N9" s="4" t="s">
        <v>116</v>
      </c>
      <c r="O9" s="7"/>
      <c r="P9" s="7"/>
      <c r="Q9" s="17">
        <v>3468</v>
      </c>
      <c r="R9" s="17">
        <v>3468</v>
      </c>
      <c r="S9" s="17">
        <v>0</v>
      </c>
      <c r="T9" s="17">
        <v>0</v>
      </c>
      <c r="U9" s="17">
        <v>0</v>
      </c>
      <c r="V9" s="17">
        <v>3468</v>
      </c>
      <c r="W9" s="17">
        <f>R9-S9-T9</f>
        <v>3468</v>
      </c>
      <c r="X9" s="8">
        <f>V9</f>
        <v>3468</v>
      </c>
      <c r="Y9" s="4">
        <v>46112</v>
      </c>
      <c r="Z9" s="18"/>
      <c r="AA9" s="12"/>
      <c r="AB9" s="13"/>
    </row>
    <row r="10" spans="1:28" s="11" customFormat="1" ht="15.75" customHeight="1" x14ac:dyDescent="0.25">
      <c r="A10" s="35">
        <v>46082</v>
      </c>
      <c r="B10" s="35">
        <v>46054</v>
      </c>
      <c r="C10" s="35">
        <v>46082</v>
      </c>
      <c r="D10" s="5">
        <v>7004</v>
      </c>
      <c r="E10" s="5">
        <v>47997</v>
      </c>
      <c r="F10" s="5" t="s">
        <v>66</v>
      </c>
      <c r="G10" s="6" t="s">
        <v>30</v>
      </c>
      <c r="H10" s="9" t="s">
        <v>93</v>
      </c>
      <c r="I10" s="5"/>
      <c r="J10" s="5"/>
      <c r="K10" s="4"/>
      <c r="L10" s="4"/>
      <c r="M10" s="4"/>
      <c r="N10" s="4" t="s">
        <v>117</v>
      </c>
      <c r="O10" s="7"/>
      <c r="P10" s="7"/>
      <c r="Q10" s="17">
        <v>8092</v>
      </c>
      <c r="R10" s="17">
        <v>8092</v>
      </c>
      <c r="S10" s="17">
        <v>0</v>
      </c>
      <c r="T10" s="17">
        <v>175.6</v>
      </c>
      <c r="U10" s="17">
        <v>0</v>
      </c>
      <c r="V10" s="17">
        <v>7916.4</v>
      </c>
      <c r="W10" s="17">
        <f t="shared" ref="W10:W21" si="2">R10-S10-T10</f>
        <v>7916.4</v>
      </c>
      <c r="X10" s="8">
        <f t="shared" ref="X10:X21" si="3">V10</f>
        <v>7916.4</v>
      </c>
      <c r="Y10" s="4">
        <v>46112</v>
      </c>
      <c r="Z10" s="18"/>
      <c r="AA10" s="12"/>
      <c r="AB10" s="13"/>
    </row>
    <row r="11" spans="1:28" s="11" customFormat="1" ht="15.75" customHeight="1" x14ac:dyDescent="0.25">
      <c r="A11" s="35">
        <v>46082</v>
      </c>
      <c r="B11" s="35">
        <v>46054</v>
      </c>
      <c r="C11" s="35">
        <v>46082</v>
      </c>
      <c r="D11" s="5">
        <v>9782</v>
      </c>
      <c r="E11" s="5">
        <v>47987</v>
      </c>
      <c r="F11" s="5" t="s">
        <v>67</v>
      </c>
      <c r="G11" s="6" t="s">
        <v>30</v>
      </c>
      <c r="H11" s="9" t="s">
        <v>94</v>
      </c>
      <c r="I11" s="5"/>
      <c r="J11" s="5"/>
      <c r="K11" s="4"/>
      <c r="L11" s="4"/>
      <c r="M11" s="4"/>
      <c r="N11" s="4" t="s">
        <v>115</v>
      </c>
      <c r="O11" s="7"/>
      <c r="P11" s="7"/>
      <c r="Q11" s="17">
        <v>7514</v>
      </c>
      <c r="R11" s="17">
        <v>7514</v>
      </c>
      <c r="S11" s="17">
        <v>0</v>
      </c>
      <c r="T11" s="17">
        <v>151.03</v>
      </c>
      <c r="U11" s="17">
        <v>0</v>
      </c>
      <c r="V11" s="17">
        <v>7362.97</v>
      </c>
      <c r="W11" s="17">
        <f t="shared" ref="W11:W17" si="4">R11-S11-T11</f>
        <v>7362.97</v>
      </c>
      <c r="X11" s="8">
        <f t="shared" ref="X11:X17" si="5">V11</f>
        <v>7362.97</v>
      </c>
      <c r="Y11" s="4">
        <v>46112</v>
      </c>
      <c r="Z11" s="18"/>
      <c r="AA11" s="12"/>
      <c r="AB11" s="13"/>
    </row>
    <row r="12" spans="1:28" s="11" customFormat="1" ht="15.75" customHeight="1" x14ac:dyDescent="0.25">
      <c r="A12" s="35">
        <v>46082</v>
      </c>
      <c r="B12" s="35">
        <v>46054</v>
      </c>
      <c r="C12" s="35">
        <v>46082</v>
      </c>
      <c r="D12" s="5">
        <v>15924</v>
      </c>
      <c r="E12" s="5">
        <v>47988</v>
      </c>
      <c r="F12" s="5" t="s">
        <v>35</v>
      </c>
      <c r="G12" s="6" t="s">
        <v>30</v>
      </c>
      <c r="H12" s="9" t="s">
        <v>123</v>
      </c>
      <c r="I12" s="5"/>
      <c r="J12" s="5"/>
      <c r="K12" s="4"/>
      <c r="L12" s="4"/>
      <c r="M12" s="4"/>
      <c r="N12" s="4" t="s">
        <v>120</v>
      </c>
      <c r="O12" s="7"/>
      <c r="P12" s="7"/>
      <c r="Q12" s="17">
        <v>8670</v>
      </c>
      <c r="R12" s="17">
        <v>8670</v>
      </c>
      <c r="S12" s="17">
        <v>0</v>
      </c>
      <c r="T12" s="17">
        <v>174.27</v>
      </c>
      <c r="U12" s="17">
        <v>0</v>
      </c>
      <c r="V12" s="17">
        <v>8495.73</v>
      </c>
      <c r="W12" s="17">
        <f t="shared" ref="W12:W14" si="6">R12-S12-T12</f>
        <v>8495.73</v>
      </c>
      <c r="X12" s="8">
        <f t="shared" ref="X12:X14" si="7">V12</f>
        <v>8495.73</v>
      </c>
      <c r="Y12" s="4">
        <v>46112</v>
      </c>
      <c r="Z12" s="18"/>
      <c r="AA12" s="12"/>
      <c r="AB12" s="13"/>
    </row>
    <row r="13" spans="1:28" s="11" customFormat="1" ht="15.75" customHeight="1" x14ac:dyDescent="0.25">
      <c r="A13" s="35">
        <v>46082</v>
      </c>
      <c r="B13" s="35">
        <v>46054</v>
      </c>
      <c r="C13" s="35">
        <v>46082</v>
      </c>
      <c r="D13" s="5">
        <v>7746</v>
      </c>
      <c r="E13" s="5">
        <v>48005</v>
      </c>
      <c r="F13" s="5" t="s">
        <v>68</v>
      </c>
      <c r="G13" s="6" t="s">
        <v>30</v>
      </c>
      <c r="H13" s="9" t="s">
        <v>95</v>
      </c>
      <c r="I13" s="5"/>
      <c r="J13" s="5"/>
      <c r="K13" s="4"/>
      <c r="L13" s="4"/>
      <c r="M13" s="4"/>
      <c r="N13" s="4" t="s">
        <v>115</v>
      </c>
      <c r="O13" s="7"/>
      <c r="P13" s="7"/>
      <c r="Q13" s="17">
        <v>3706</v>
      </c>
      <c r="R13" s="17">
        <v>3706</v>
      </c>
      <c r="S13" s="17">
        <v>0</v>
      </c>
      <c r="T13" s="17">
        <v>74.489999999999995</v>
      </c>
      <c r="U13" s="17">
        <v>0</v>
      </c>
      <c r="V13" s="17">
        <v>3631.51</v>
      </c>
      <c r="W13" s="17">
        <f t="shared" si="6"/>
        <v>3631.51</v>
      </c>
      <c r="X13" s="8">
        <f t="shared" si="7"/>
        <v>3631.51</v>
      </c>
      <c r="Y13" s="4">
        <v>46112</v>
      </c>
      <c r="Z13" s="18"/>
      <c r="AA13" s="12"/>
      <c r="AB13" s="13"/>
    </row>
    <row r="14" spans="1:28" s="11" customFormat="1" ht="15.75" customHeight="1" x14ac:dyDescent="0.25">
      <c r="A14" s="35">
        <v>46082</v>
      </c>
      <c r="B14" s="35">
        <v>46054</v>
      </c>
      <c r="C14" s="35">
        <v>46082</v>
      </c>
      <c r="D14" s="5">
        <v>9295</v>
      </c>
      <c r="E14" s="5">
        <v>48012</v>
      </c>
      <c r="F14" s="5" t="s">
        <v>69</v>
      </c>
      <c r="G14" s="6" t="s">
        <v>30</v>
      </c>
      <c r="H14" s="9" t="s">
        <v>96</v>
      </c>
      <c r="I14" s="5"/>
      <c r="J14" s="5"/>
      <c r="K14" s="4"/>
      <c r="L14" s="4"/>
      <c r="M14" s="4"/>
      <c r="N14" s="4" t="s">
        <v>116</v>
      </c>
      <c r="O14" s="7"/>
      <c r="P14" s="7"/>
      <c r="Q14" s="17">
        <v>5780</v>
      </c>
      <c r="R14" s="17">
        <v>5780</v>
      </c>
      <c r="S14" s="17">
        <v>0</v>
      </c>
      <c r="T14" s="17">
        <v>0</v>
      </c>
      <c r="U14" s="17">
        <v>0</v>
      </c>
      <c r="V14" s="17">
        <v>5780</v>
      </c>
      <c r="W14" s="17">
        <f t="shared" si="6"/>
        <v>5780</v>
      </c>
      <c r="X14" s="8">
        <f t="shared" si="7"/>
        <v>5780</v>
      </c>
      <c r="Y14" s="4">
        <v>46112</v>
      </c>
      <c r="Z14" s="18"/>
      <c r="AA14" s="12"/>
      <c r="AB14" s="13"/>
    </row>
    <row r="15" spans="1:28" s="11" customFormat="1" ht="15.75" customHeight="1" x14ac:dyDescent="0.25">
      <c r="A15" s="35">
        <v>46082</v>
      </c>
      <c r="B15" s="35">
        <v>46054</v>
      </c>
      <c r="C15" s="35">
        <v>46082</v>
      </c>
      <c r="D15" s="5">
        <v>7576</v>
      </c>
      <c r="E15" s="5">
        <v>48006</v>
      </c>
      <c r="F15" s="5" t="s">
        <v>70</v>
      </c>
      <c r="G15" s="6" t="s">
        <v>30</v>
      </c>
      <c r="H15" s="9" t="s">
        <v>97</v>
      </c>
      <c r="I15" s="5"/>
      <c r="J15" s="5"/>
      <c r="K15" s="4"/>
      <c r="L15" s="4"/>
      <c r="M15" s="4"/>
      <c r="N15" s="4" t="s">
        <v>114</v>
      </c>
      <c r="O15" s="7"/>
      <c r="P15" s="7"/>
      <c r="Q15" s="17">
        <v>7106</v>
      </c>
      <c r="R15" s="17">
        <v>7106</v>
      </c>
      <c r="S15" s="17">
        <v>0</v>
      </c>
      <c r="T15" s="17">
        <v>154.19999999999999</v>
      </c>
      <c r="U15" s="17">
        <v>0</v>
      </c>
      <c r="V15" s="17">
        <v>6951.8</v>
      </c>
      <c r="W15" s="17">
        <f t="shared" ref="W15" si="8">R15-S15-T15</f>
        <v>6951.8</v>
      </c>
      <c r="X15" s="8">
        <f t="shared" ref="X15" si="9">V15</f>
        <v>6951.8</v>
      </c>
      <c r="Y15" s="4">
        <v>46112</v>
      </c>
      <c r="Z15" s="18"/>
      <c r="AA15" s="12"/>
      <c r="AB15" s="13"/>
    </row>
    <row r="16" spans="1:28" s="11" customFormat="1" ht="15.75" customHeight="1" x14ac:dyDescent="0.25">
      <c r="A16" s="35">
        <v>46082</v>
      </c>
      <c r="B16" s="35">
        <v>46054</v>
      </c>
      <c r="C16" s="35">
        <v>46082</v>
      </c>
      <c r="D16" s="5">
        <v>8047</v>
      </c>
      <c r="E16" s="5">
        <v>47989</v>
      </c>
      <c r="F16" s="5" t="s">
        <v>71</v>
      </c>
      <c r="G16" s="6" t="s">
        <v>30</v>
      </c>
      <c r="H16" s="9" t="s">
        <v>98</v>
      </c>
      <c r="I16" s="5"/>
      <c r="J16" s="5"/>
      <c r="K16" s="4"/>
      <c r="L16" s="4"/>
      <c r="M16" s="4"/>
      <c r="N16" s="4" t="s">
        <v>114</v>
      </c>
      <c r="O16" s="7"/>
      <c r="P16" s="7"/>
      <c r="Q16" s="17">
        <v>4318</v>
      </c>
      <c r="R16" s="17">
        <v>4318</v>
      </c>
      <c r="S16" s="17">
        <v>0</v>
      </c>
      <c r="T16" s="17">
        <v>172.29</v>
      </c>
      <c r="U16" s="17">
        <v>0</v>
      </c>
      <c r="V16" s="17">
        <v>4145.71</v>
      </c>
      <c r="W16" s="17">
        <f t="shared" si="4"/>
        <v>4145.71</v>
      </c>
      <c r="X16" s="8">
        <f t="shared" si="5"/>
        <v>4145.71</v>
      </c>
      <c r="Y16" s="4">
        <v>46112</v>
      </c>
      <c r="Z16" s="18"/>
      <c r="AA16" s="12"/>
      <c r="AB16" s="13"/>
    </row>
    <row r="17" spans="1:28" s="11" customFormat="1" ht="15.75" customHeight="1" x14ac:dyDescent="0.25">
      <c r="A17" s="35">
        <v>46082</v>
      </c>
      <c r="B17" s="35">
        <v>46054</v>
      </c>
      <c r="C17" s="35">
        <v>46082</v>
      </c>
      <c r="D17" s="5">
        <v>14712</v>
      </c>
      <c r="E17" s="5">
        <v>48007</v>
      </c>
      <c r="F17" s="5" t="s">
        <v>72</v>
      </c>
      <c r="G17" s="6" t="s">
        <v>30</v>
      </c>
      <c r="H17" s="9" t="s">
        <v>99</v>
      </c>
      <c r="I17" s="5"/>
      <c r="J17" s="5"/>
      <c r="K17" s="4"/>
      <c r="L17" s="4"/>
      <c r="M17" s="4"/>
      <c r="N17" s="4" t="s">
        <v>117</v>
      </c>
      <c r="O17" s="7"/>
      <c r="P17" s="7"/>
      <c r="Q17" s="17">
        <v>14178</v>
      </c>
      <c r="R17" s="17">
        <v>14178</v>
      </c>
      <c r="S17" s="17">
        <v>0</v>
      </c>
      <c r="T17" s="17">
        <v>378.55</v>
      </c>
      <c r="U17" s="17">
        <v>0</v>
      </c>
      <c r="V17" s="17">
        <v>13799.45</v>
      </c>
      <c r="W17" s="17">
        <f t="shared" si="4"/>
        <v>13799.45</v>
      </c>
      <c r="X17" s="8">
        <f t="shared" si="5"/>
        <v>13799.45</v>
      </c>
      <c r="Y17" s="4">
        <v>46112</v>
      </c>
      <c r="Z17" s="18"/>
      <c r="AA17" s="12"/>
      <c r="AB17" s="13"/>
    </row>
    <row r="18" spans="1:28" s="11" customFormat="1" ht="15.75" customHeight="1" x14ac:dyDescent="0.25">
      <c r="A18" s="35">
        <v>46082</v>
      </c>
      <c r="B18" s="35">
        <v>46054</v>
      </c>
      <c r="C18" s="35">
        <v>46082</v>
      </c>
      <c r="D18" s="5">
        <v>9817</v>
      </c>
      <c r="E18" s="5">
        <v>48017</v>
      </c>
      <c r="F18" s="5" t="s">
        <v>73</v>
      </c>
      <c r="G18" s="6" t="s">
        <v>30</v>
      </c>
      <c r="H18" s="9" t="s">
        <v>100</v>
      </c>
      <c r="I18" s="5"/>
      <c r="J18" s="5"/>
      <c r="K18" s="4"/>
      <c r="L18" s="4"/>
      <c r="M18" s="4"/>
      <c r="N18" s="4" t="s">
        <v>115</v>
      </c>
      <c r="O18" s="7"/>
      <c r="P18" s="7"/>
      <c r="Q18" s="17">
        <v>5100</v>
      </c>
      <c r="R18" s="17">
        <v>5100</v>
      </c>
      <c r="S18" s="17">
        <v>0</v>
      </c>
      <c r="T18" s="17">
        <v>110.67</v>
      </c>
      <c r="U18" s="17">
        <v>0</v>
      </c>
      <c r="V18" s="17">
        <v>4989.33</v>
      </c>
      <c r="W18" s="17">
        <f t="shared" ref="W18" si="10">R18-S18-T18</f>
        <v>4989.33</v>
      </c>
      <c r="X18" s="8">
        <f t="shared" ref="X18" si="11">V18</f>
        <v>4989.33</v>
      </c>
      <c r="Y18" s="4">
        <v>46112</v>
      </c>
      <c r="Z18" s="18"/>
      <c r="AA18" s="12"/>
      <c r="AB18" s="13"/>
    </row>
    <row r="19" spans="1:28" s="11" customFormat="1" ht="15.75" customHeight="1" x14ac:dyDescent="0.25">
      <c r="A19" s="35">
        <v>46082</v>
      </c>
      <c r="B19" s="35">
        <v>46054</v>
      </c>
      <c r="C19" s="35">
        <v>46082</v>
      </c>
      <c r="D19" s="5">
        <v>5064</v>
      </c>
      <c r="E19" s="5">
        <v>48008</v>
      </c>
      <c r="F19" s="5" t="s">
        <v>74</v>
      </c>
      <c r="G19" s="6" t="s">
        <v>30</v>
      </c>
      <c r="H19" s="9" t="s">
        <v>101</v>
      </c>
      <c r="I19" s="5"/>
      <c r="J19" s="5"/>
      <c r="K19" s="4"/>
      <c r="L19" s="4"/>
      <c r="M19" s="4"/>
      <c r="N19" s="4" t="s">
        <v>118</v>
      </c>
      <c r="O19" s="7"/>
      <c r="P19" s="7"/>
      <c r="Q19" s="17">
        <v>4930</v>
      </c>
      <c r="R19" s="17">
        <v>4930</v>
      </c>
      <c r="S19" s="17">
        <v>0</v>
      </c>
      <c r="T19" s="17">
        <v>147.9</v>
      </c>
      <c r="U19" s="17">
        <v>73.95</v>
      </c>
      <c r="V19" s="17">
        <v>4478.8999999999996</v>
      </c>
      <c r="W19" s="17">
        <f t="shared" si="2"/>
        <v>4782.1000000000004</v>
      </c>
      <c r="X19" s="8">
        <f t="shared" si="3"/>
        <v>4478.8999999999996</v>
      </c>
      <c r="Y19" s="4">
        <v>46112</v>
      </c>
      <c r="Z19" s="18"/>
      <c r="AA19" s="12"/>
      <c r="AB19" s="13"/>
    </row>
    <row r="20" spans="1:28" s="11" customFormat="1" ht="15.75" customHeight="1" x14ac:dyDescent="0.25">
      <c r="A20" s="35">
        <v>46082</v>
      </c>
      <c r="B20" s="35">
        <v>46054</v>
      </c>
      <c r="C20" s="35">
        <v>46082</v>
      </c>
      <c r="D20" s="5">
        <v>8035</v>
      </c>
      <c r="E20" s="5">
        <v>47990</v>
      </c>
      <c r="F20" s="5" t="s">
        <v>75</v>
      </c>
      <c r="G20" s="6" t="s">
        <v>30</v>
      </c>
      <c r="H20" s="9" t="s">
        <v>102</v>
      </c>
      <c r="I20" s="5"/>
      <c r="J20" s="5"/>
      <c r="K20" s="4"/>
      <c r="L20" s="4"/>
      <c r="M20" s="4"/>
      <c r="N20" s="4" t="s">
        <v>117</v>
      </c>
      <c r="O20" s="7"/>
      <c r="P20" s="7"/>
      <c r="Q20" s="17">
        <v>8228</v>
      </c>
      <c r="R20" s="17">
        <v>8228</v>
      </c>
      <c r="S20" s="17">
        <v>0</v>
      </c>
      <c r="T20" s="17">
        <v>178.55</v>
      </c>
      <c r="U20" s="17">
        <v>0</v>
      </c>
      <c r="V20" s="17">
        <v>8049.45</v>
      </c>
      <c r="W20" s="17">
        <f t="shared" si="2"/>
        <v>8049.45</v>
      </c>
      <c r="X20" s="8">
        <f t="shared" si="3"/>
        <v>8049.45</v>
      </c>
      <c r="Y20" s="4">
        <v>46112</v>
      </c>
      <c r="Z20" s="18"/>
      <c r="AA20" s="12"/>
      <c r="AB20" s="13"/>
    </row>
    <row r="21" spans="1:28" s="11" customFormat="1" ht="15.75" customHeight="1" x14ac:dyDescent="0.25">
      <c r="A21" s="35">
        <v>46082</v>
      </c>
      <c r="B21" s="35">
        <v>46054</v>
      </c>
      <c r="C21" s="35">
        <v>46082</v>
      </c>
      <c r="D21" s="5">
        <v>7571</v>
      </c>
      <c r="E21" s="5">
        <v>47999</v>
      </c>
      <c r="F21" s="5" t="s">
        <v>76</v>
      </c>
      <c r="G21" s="6" t="s">
        <v>30</v>
      </c>
      <c r="H21" s="9" t="s">
        <v>103</v>
      </c>
      <c r="I21" s="5"/>
      <c r="J21" s="5"/>
      <c r="K21" s="4"/>
      <c r="L21" s="4"/>
      <c r="M21" s="4"/>
      <c r="N21" s="4" t="s">
        <v>115</v>
      </c>
      <c r="O21" s="7"/>
      <c r="P21" s="7"/>
      <c r="Q21" s="17">
        <v>7616</v>
      </c>
      <c r="R21" s="17">
        <v>7616</v>
      </c>
      <c r="S21" s="17">
        <v>0</v>
      </c>
      <c r="T21" s="17">
        <v>153.08000000000001</v>
      </c>
      <c r="U21" s="17">
        <v>0</v>
      </c>
      <c r="V21" s="17">
        <v>7462.92</v>
      </c>
      <c r="W21" s="17">
        <f t="shared" si="2"/>
        <v>7462.92</v>
      </c>
      <c r="X21" s="8">
        <f t="shared" si="3"/>
        <v>7462.92</v>
      </c>
      <c r="Y21" s="4">
        <v>46112</v>
      </c>
      <c r="Z21" s="18"/>
      <c r="AA21" s="12"/>
      <c r="AB21" s="13"/>
    </row>
    <row r="22" spans="1:28" s="11" customFormat="1" ht="15.75" customHeight="1" x14ac:dyDescent="0.25">
      <c r="A22" s="35">
        <v>46082</v>
      </c>
      <c r="B22" s="35">
        <v>46054</v>
      </c>
      <c r="C22" s="35">
        <v>46082</v>
      </c>
      <c r="D22" s="5">
        <v>9460</v>
      </c>
      <c r="E22" s="5">
        <v>48022</v>
      </c>
      <c r="F22" s="5" t="s">
        <v>77</v>
      </c>
      <c r="G22" s="6" t="s">
        <v>30</v>
      </c>
      <c r="H22" s="9" t="s">
        <v>104</v>
      </c>
      <c r="I22" s="5"/>
      <c r="J22" s="5"/>
      <c r="K22" s="4"/>
      <c r="L22" s="4"/>
      <c r="M22" s="4"/>
      <c r="N22" s="4" t="s">
        <v>119</v>
      </c>
      <c r="O22" s="7"/>
      <c r="P22" s="7"/>
      <c r="Q22" s="17">
        <v>3366</v>
      </c>
      <c r="R22" s="17">
        <v>3366</v>
      </c>
      <c r="S22" s="17">
        <v>0</v>
      </c>
      <c r="T22" s="17">
        <v>67.66</v>
      </c>
      <c r="U22" s="17">
        <v>0</v>
      </c>
      <c r="V22" s="17">
        <v>3298.34</v>
      </c>
      <c r="W22" s="17">
        <f t="shared" ref="W22:W33" si="12">R22-S22-T22</f>
        <v>3298.34</v>
      </c>
      <c r="X22" s="8">
        <f t="shared" ref="X22:X33" si="13">V22</f>
        <v>3298.34</v>
      </c>
      <c r="Y22" s="4">
        <v>46112</v>
      </c>
      <c r="Z22" s="18"/>
      <c r="AA22" s="12"/>
      <c r="AB22" s="13"/>
    </row>
    <row r="23" spans="1:28" s="11" customFormat="1" ht="15.75" customHeight="1" x14ac:dyDescent="0.25">
      <c r="A23" s="35">
        <v>46082</v>
      </c>
      <c r="B23" s="35">
        <v>46054</v>
      </c>
      <c r="C23" s="35">
        <v>46082</v>
      </c>
      <c r="D23" s="5">
        <v>15093</v>
      </c>
      <c r="E23" s="5">
        <v>47991</v>
      </c>
      <c r="F23" s="5" t="s">
        <v>78</v>
      </c>
      <c r="G23" s="6" t="s">
        <v>30</v>
      </c>
      <c r="H23" s="9" t="s">
        <v>105</v>
      </c>
      <c r="I23" s="5"/>
      <c r="J23" s="5"/>
      <c r="K23" s="4"/>
      <c r="L23" s="4"/>
      <c r="M23" s="4"/>
      <c r="N23" s="4" t="s">
        <v>115</v>
      </c>
      <c r="O23" s="7"/>
      <c r="P23" s="7"/>
      <c r="Q23" s="17">
        <v>10608</v>
      </c>
      <c r="R23" s="17">
        <v>10608</v>
      </c>
      <c r="S23" s="17">
        <v>0</v>
      </c>
      <c r="T23" s="17">
        <v>230.19</v>
      </c>
      <c r="U23" s="17">
        <v>0</v>
      </c>
      <c r="V23" s="17">
        <v>10377.81</v>
      </c>
      <c r="W23" s="17">
        <f t="shared" si="12"/>
        <v>10377.81</v>
      </c>
      <c r="X23" s="8">
        <f t="shared" si="13"/>
        <v>10377.81</v>
      </c>
      <c r="Y23" s="4">
        <v>46112</v>
      </c>
      <c r="Z23" s="18"/>
      <c r="AA23" s="12"/>
      <c r="AB23" s="13"/>
    </row>
    <row r="24" spans="1:28" s="11" customFormat="1" ht="15.75" customHeight="1" x14ac:dyDescent="0.25">
      <c r="A24" s="35">
        <v>46082</v>
      </c>
      <c r="B24" s="35">
        <v>46054</v>
      </c>
      <c r="C24" s="35">
        <v>46082</v>
      </c>
      <c r="D24" s="5">
        <v>8777</v>
      </c>
      <c r="E24" s="5">
        <v>48000</v>
      </c>
      <c r="F24" s="5" t="s">
        <v>79</v>
      </c>
      <c r="G24" s="6" t="s">
        <v>30</v>
      </c>
      <c r="H24" s="9" t="s">
        <v>106</v>
      </c>
      <c r="I24" s="5"/>
      <c r="J24" s="5"/>
      <c r="K24" s="4"/>
      <c r="L24" s="4"/>
      <c r="M24" s="4"/>
      <c r="N24" s="4" t="s">
        <v>115</v>
      </c>
      <c r="O24" s="7"/>
      <c r="P24" s="7"/>
      <c r="Q24" s="17">
        <v>11288</v>
      </c>
      <c r="R24" s="17">
        <v>11288</v>
      </c>
      <c r="S24" s="17">
        <v>0</v>
      </c>
      <c r="T24" s="17">
        <v>226.89</v>
      </c>
      <c r="U24" s="17">
        <v>0</v>
      </c>
      <c r="V24" s="17">
        <v>11061.11</v>
      </c>
      <c r="W24" s="17">
        <f t="shared" si="12"/>
        <v>11061.11</v>
      </c>
      <c r="X24" s="8">
        <f t="shared" si="13"/>
        <v>11061.11</v>
      </c>
      <c r="Y24" s="4">
        <v>46112</v>
      </c>
      <c r="Z24" s="18"/>
      <c r="AA24" s="12"/>
      <c r="AB24" s="13"/>
    </row>
    <row r="25" spans="1:28" s="11" customFormat="1" ht="15.75" customHeight="1" x14ac:dyDescent="0.25">
      <c r="A25" s="35">
        <v>46082</v>
      </c>
      <c r="B25" s="35">
        <v>46054</v>
      </c>
      <c r="C25" s="35">
        <v>46082</v>
      </c>
      <c r="D25" s="5">
        <v>7545</v>
      </c>
      <c r="E25" s="5">
        <v>48010</v>
      </c>
      <c r="F25" s="5" t="s">
        <v>80</v>
      </c>
      <c r="G25" s="6" t="s">
        <v>30</v>
      </c>
      <c r="H25" s="9" t="s">
        <v>107</v>
      </c>
      <c r="I25" s="5"/>
      <c r="J25" s="5"/>
      <c r="K25" s="4"/>
      <c r="L25" s="4"/>
      <c r="M25" s="4"/>
      <c r="N25" s="4" t="s">
        <v>117</v>
      </c>
      <c r="O25" s="7"/>
      <c r="P25" s="7"/>
      <c r="Q25" s="17">
        <v>8398</v>
      </c>
      <c r="R25" s="17">
        <v>8398</v>
      </c>
      <c r="S25" s="17">
        <v>0</v>
      </c>
      <c r="T25" s="17">
        <v>182.24</v>
      </c>
      <c r="U25" s="17">
        <v>0</v>
      </c>
      <c r="V25" s="17">
        <v>8215.76</v>
      </c>
      <c r="W25" s="17">
        <f t="shared" si="12"/>
        <v>8215.76</v>
      </c>
      <c r="X25" s="8">
        <f t="shared" si="13"/>
        <v>8215.76</v>
      </c>
      <c r="Y25" s="4">
        <v>46112</v>
      </c>
      <c r="Z25" s="18"/>
      <c r="AA25" s="12"/>
      <c r="AB25" s="13"/>
    </row>
    <row r="26" spans="1:28" s="11" customFormat="1" ht="15.75" customHeight="1" x14ac:dyDescent="0.25">
      <c r="A26" s="35">
        <v>46082</v>
      </c>
      <c r="B26" s="35">
        <v>46054</v>
      </c>
      <c r="C26" s="35">
        <v>46082</v>
      </c>
      <c r="D26" s="5">
        <v>15977</v>
      </c>
      <c r="E26" s="5">
        <v>48019</v>
      </c>
      <c r="F26" s="5" t="s">
        <v>40</v>
      </c>
      <c r="G26" s="6" t="s">
        <v>30</v>
      </c>
      <c r="H26" s="9" t="s">
        <v>124</v>
      </c>
      <c r="I26" s="5"/>
      <c r="J26" s="5"/>
      <c r="K26" s="4"/>
      <c r="L26" s="4"/>
      <c r="M26" s="4"/>
      <c r="N26" s="4" t="s">
        <v>120</v>
      </c>
      <c r="O26" s="7"/>
      <c r="P26" s="7"/>
      <c r="Q26" s="17">
        <v>6460</v>
      </c>
      <c r="R26" s="17">
        <v>6460</v>
      </c>
      <c r="S26" s="17">
        <v>0</v>
      </c>
      <c r="T26" s="17">
        <v>140.18</v>
      </c>
      <c r="U26" s="17">
        <v>0</v>
      </c>
      <c r="V26" s="17">
        <v>6319.82</v>
      </c>
      <c r="W26" s="17">
        <f t="shared" si="12"/>
        <v>6319.82</v>
      </c>
      <c r="X26" s="8">
        <f t="shared" si="13"/>
        <v>6319.82</v>
      </c>
      <c r="Y26" s="4">
        <v>46112</v>
      </c>
      <c r="Z26" s="18"/>
      <c r="AA26" s="12"/>
      <c r="AB26" s="13"/>
    </row>
    <row r="27" spans="1:28" s="11" customFormat="1" ht="15.75" customHeight="1" x14ac:dyDescent="0.25">
      <c r="A27" s="35">
        <v>46082</v>
      </c>
      <c r="B27" s="35">
        <v>46054</v>
      </c>
      <c r="C27" s="35">
        <v>46082</v>
      </c>
      <c r="D27" s="5">
        <v>10053</v>
      </c>
      <c r="E27" s="5">
        <v>48001</v>
      </c>
      <c r="F27" s="5" t="s">
        <v>81</v>
      </c>
      <c r="G27" s="6" t="s">
        <v>30</v>
      </c>
      <c r="H27" s="9" t="s">
        <v>108</v>
      </c>
      <c r="I27" s="5"/>
      <c r="J27" s="5"/>
      <c r="K27" s="4"/>
      <c r="L27" s="4"/>
      <c r="M27" s="4"/>
      <c r="N27" s="4" t="s">
        <v>114</v>
      </c>
      <c r="O27" s="7"/>
      <c r="P27" s="7"/>
      <c r="Q27" s="17">
        <v>10098</v>
      </c>
      <c r="R27" s="17">
        <v>10098</v>
      </c>
      <c r="S27" s="17">
        <v>0</v>
      </c>
      <c r="T27" s="17">
        <v>219.13</v>
      </c>
      <c r="U27" s="17">
        <v>0</v>
      </c>
      <c r="V27" s="17">
        <v>9878.8700000000008</v>
      </c>
      <c r="W27" s="17">
        <f t="shared" ref="W27" si="14">R27-S27-T27</f>
        <v>9878.8700000000008</v>
      </c>
      <c r="X27" s="8">
        <f t="shared" ref="X27" si="15">V27</f>
        <v>9878.8700000000008</v>
      </c>
      <c r="Y27" s="4">
        <v>46112</v>
      </c>
      <c r="Z27" s="18"/>
      <c r="AA27" s="12"/>
      <c r="AB27" s="13"/>
    </row>
    <row r="28" spans="1:28" s="11" customFormat="1" ht="15.75" customHeight="1" x14ac:dyDescent="0.25">
      <c r="A28" s="35">
        <v>46082</v>
      </c>
      <c r="B28" s="35">
        <v>46054</v>
      </c>
      <c r="C28" s="35">
        <v>46082</v>
      </c>
      <c r="D28" s="5">
        <v>8087</v>
      </c>
      <c r="E28" s="5">
        <v>48024</v>
      </c>
      <c r="F28" s="5" t="s">
        <v>82</v>
      </c>
      <c r="G28" s="6" t="s">
        <v>30</v>
      </c>
      <c r="H28" s="9" t="s">
        <v>109</v>
      </c>
      <c r="I28" s="5"/>
      <c r="J28" s="5"/>
      <c r="K28" s="4"/>
      <c r="L28" s="4"/>
      <c r="M28" s="4"/>
      <c r="N28" s="4" t="s">
        <v>115</v>
      </c>
      <c r="O28" s="7"/>
      <c r="P28" s="7"/>
      <c r="Q28" s="17">
        <v>7378</v>
      </c>
      <c r="R28" s="17">
        <v>7378</v>
      </c>
      <c r="S28" s="17">
        <v>0</v>
      </c>
      <c r="T28" s="17">
        <v>148.30000000000001</v>
      </c>
      <c r="U28" s="17">
        <v>0</v>
      </c>
      <c r="V28" s="17">
        <v>7229.7</v>
      </c>
      <c r="W28" s="17">
        <f t="shared" si="12"/>
        <v>7229.7</v>
      </c>
      <c r="X28" s="8">
        <f t="shared" si="13"/>
        <v>7229.7</v>
      </c>
      <c r="Y28" s="4">
        <v>46112</v>
      </c>
      <c r="Z28" s="18"/>
      <c r="AA28" s="12"/>
      <c r="AB28" s="13"/>
    </row>
    <row r="29" spans="1:28" s="11" customFormat="1" ht="15.75" customHeight="1" x14ac:dyDescent="0.25">
      <c r="A29" s="35">
        <v>46082</v>
      </c>
      <c r="B29" s="35">
        <v>46054</v>
      </c>
      <c r="C29" s="35">
        <v>46082</v>
      </c>
      <c r="D29" s="5">
        <v>7792</v>
      </c>
      <c r="E29" s="5">
        <v>48020</v>
      </c>
      <c r="F29" s="5" t="s">
        <v>83</v>
      </c>
      <c r="G29" s="6" t="s">
        <v>30</v>
      </c>
      <c r="H29" s="9" t="s">
        <v>110</v>
      </c>
      <c r="I29" s="5"/>
      <c r="J29" s="5"/>
      <c r="K29" s="4"/>
      <c r="L29" s="4"/>
      <c r="M29" s="4"/>
      <c r="N29" s="4" t="s">
        <v>115</v>
      </c>
      <c r="O29" s="7"/>
      <c r="P29" s="7"/>
      <c r="Q29" s="17">
        <v>3366</v>
      </c>
      <c r="R29" s="17">
        <v>3366</v>
      </c>
      <c r="S29" s="17">
        <v>0</v>
      </c>
      <c r="T29" s="17">
        <v>73.040000000000006</v>
      </c>
      <c r="U29" s="17">
        <v>0</v>
      </c>
      <c r="V29" s="17">
        <v>3292.96</v>
      </c>
      <c r="W29" s="17">
        <f t="shared" si="12"/>
        <v>3292.96</v>
      </c>
      <c r="X29" s="8">
        <f t="shared" si="13"/>
        <v>3292.96</v>
      </c>
      <c r="Y29" s="4">
        <v>46112</v>
      </c>
      <c r="Z29" s="18"/>
      <c r="AA29" s="12"/>
      <c r="AB29" s="13"/>
    </row>
    <row r="30" spans="1:28" s="11" customFormat="1" ht="15.75" customHeight="1" x14ac:dyDescent="0.25">
      <c r="A30" s="35">
        <v>46082</v>
      </c>
      <c r="B30" s="35">
        <v>46054</v>
      </c>
      <c r="C30" s="35">
        <v>46082</v>
      </c>
      <c r="D30" s="5">
        <v>6980</v>
      </c>
      <c r="E30" s="5">
        <v>48011</v>
      </c>
      <c r="F30" s="5" t="s">
        <v>84</v>
      </c>
      <c r="G30" s="6" t="s">
        <v>30</v>
      </c>
      <c r="H30" s="9" t="s">
        <v>111</v>
      </c>
      <c r="I30" s="5"/>
      <c r="J30" s="5"/>
      <c r="K30" s="4"/>
      <c r="L30" s="4"/>
      <c r="M30" s="4"/>
      <c r="N30" s="4" t="s">
        <v>118</v>
      </c>
      <c r="O30" s="7"/>
      <c r="P30" s="7"/>
      <c r="Q30" s="17">
        <v>4828</v>
      </c>
      <c r="R30" s="17">
        <v>4828</v>
      </c>
      <c r="S30" s="17">
        <v>0</v>
      </c>
      <c r="T30" s="17">
        <v>0</v>
      </c>
      <c r="U30" s="17">
        <v>72.42</v>
      </c>
      <c r="V30" s="17">
        <v>4531.08</v>
      </c>
      <c r="W30" s="17">
        <f t="shared" si="12"/>
        <v>4828</v>
      </c>
      <c r="X30" s="8">
        <f t="shared" si="13"/>
        <v>4531.08</v>
      </c>
      <c r="Y30" s="4">
        <v>46112</v>
      </c>
      <c r="Z30" s="18"/>
      <c r="AA30" s="12"/>
      <c r="AB30" s="13"/>
    </row>
    <row r="31" spans="1:28" s="11" customFormat="1" ht="15.75" customHeight="1" x14ac:dyDescent="0.25">
      <c r="A31" s="35">
        <v>46082</v>
      </c>
      <c r="B31" s="35">
        <v>46054</v>
      </c>
      <c r="C31" s="35">
        <v>46082</v>
      </c>
      <c r="D31" s="5">
        <v>15894</v>
      </c>
      <c r="E31" s="5">
        <v>48015</v>
      </c>
      <c r="F31" s="5" t="s">
        <v>85</v>
      </c>
      <c r="G31" s="6" t="s">
        <v>30</v>
      </c>
      <c r="H31" s="9" t="s">
        <v>112</v>
      </c>
      <c r="I31" s="5"/>
      <c r="J31" s="5"/>
      <c r="K31" s="4"/>
      <c r="L31" s="4"/>
      <c r="M31" s="4"/>
      <c r="N31" s="4" t="s">
        <v>116</v>
      </c>
      <c r="O31" s="7"/>
      <c r="P31" s="7"/>
      <c r="Q31" s="17">
        <v>6052</v>
      </c>
      <c r="R31" s="17">
        <v>6052</v>
      </c>
      <c r="S31" s="17">
        <v>0</v>
      </c>
      <c r="T31" s="17">
        <v>0</v>
      </c>
      <c r="U31" s="17">
        <v>0</v>
      </c>
      <c r="V31" s="17">
        <v>6052</v>
      </c>
      <c r="W31" s="17">
        <f t="shared" si="12"/>
        <v>6052</v>
      </c>
      <c r="X31" s="8">
        <f t="shared" si="13"/>
        <v>6052</v>
      </c>
      <c r="Y31" s="4">
        <v>46112</v>
      </c>
      <c r="Z31" s="18"/>
      <c r="AA31" s="12"/>
      <c r="AB31" s="13"/>
    </row>
    <row r="32" spans="1:28" s="11" customFormat="1" ht="15.75" customHeight="1" x14ac:dyDescent="0.25">
      <c r="A32" s="35">
        <v>46082</v>
      </c>
      <c r="B32" s="35">
        <v>46054</v>
      </c>
      <c r="C32" s="35">
        <v>46082</v>
      </c>
      <c r="D32" s="5">
        <v>15975</v>
      </c>
      <c r="E32" s="5">
        <v>48027</v>
      </c>
      <c r="F32" s="5" t="s">
        <v>44</v>
      </c>
      <c r="G32" s="6" t="s">
        <v>30</v>
      </c>
      <c r="H32" s="9" t="s">
        <v>125</v>
      </c>
      <c r="I32" s="5"/>
      <c r="J32" s="5"/>
      <c r="K32" s="4"/>
      <c r="L32" s="4"/>
      <c r="M32" s="4"/>
      <c r="N32" s="4" t="s">
        <v>120</v>
      </c>
      <c r="O32" s="7"/>
      <c r="P32" s="7"/>
      <c r="Q32" s="17">
        <v>5168</v>
      </c>
      <c r="R32" s="17">
        <v>5168</v>
      </c>
      <c r="S32" s="17">
        <v>0</v>
      </c>
      <c r="T32" s="17">
        <v>112.15</v>
      </c>
      <c r="U32" s="17">
        <v>0</v>
      </c>
      <c r="V32" s="17">
        <v>5055.8500000000004</v>
      </c>
      <c r="W32" s="17">
        <f t="shared" si="12"/>
        <v>5055.8500000000004</v>
      </c>
      <c r="X32" s="8">
        <f t="shared" si="13"/>
        <v>5055.8500000000004</v>
      </c>
      <c r="Y32" s="4">
        <v>46112</v>
      </c>
      <c r="Z32" s="18"/>
      <c r="AA32" s="12"/>
      <c r="AB32" s="13"/>
    </row>
    <row r="33" spans="1:28" s="11" customFormat="1" ht="15.75" customHeight="1" x14ac:dyDescent="0.25">
      <c r="A33" s="35">
        <v>46082</v>
      </c>
      <c r="B33" s="35">
        <v>46054</v>
      </c>
      <c r="C33" s="35">
        <v>46082</v>
      </c>
      <c r="D33" s="5">
        <v>7280</v>
      </c>
      <c r="E33" s="5">
        <v>47994</v>
      </c>
      <c r="F33" s="5" t="s">
        <v>86</v>
      </c>
      <c r="G33" s="6" t="s">
        <v>30</v>
      </c>
      <c r="H33" s="9" t="s">
        <v>113</v>
      </c>
      <c r="I33" s="5"/>
      <c r="J33" s="5"/>
      <c r="K33" s="4"/>
      <c r="L33" s="4"/>
      <c r="M33" s="4"/>
      <c r="N33" s="4" t="s">
        <v>120</v>
      </c>
      <c r="O33" s="7"/>
      <c r="P33" s="7"/>
      <c r="Q33" s="17">
        <v>1564</v>
      </c>
      <c r="R33" s="17">
        <v>1564</v>
      </c>
      <c r="S33" s="17">
        <v>0</v>
      </c>
      <c r="T33" s="17">
        <v>33.94</v>
      </c>
      <c r="U33" s="17">
        <v>0</v>
      </c>
      <c r="V33" s="17">
        <v>1530.06</v>
      </c>
      <c r="W33" s="17">
        <f t="shared" si="12"/>
        <v>1530.06</v>
      </c>
      <c r="X33" s="8">
        <f t="shared" si="13"/>
        <v>1530.06</v>
      </c>
      <c r="Y33" s="4">
        <v>46112</v>
      </c>
      <c r="Z33" s="18"/>
      <c r="AA33" s="12"/>
      <c r="AB33" s="13"/>
    </row>
    <row r="34" spans="1:28" s="34" customFormat="1" x14ac:dyDescent="0.25">
      <c r="A34" s="26" t="s">
        <v>9</v>
      </c>
      <c r="B34" s="26"/>
      <c r="C34" s="30"/>
      <c r="D34" s="30"/>
      <c r="E34" s="30"/>
      <c r="F34" s="30"/>
      <c r="G34" s="31"/>
      <c r="H34" s="32"/>
      <c r="I34" s="30"/>
      <c r="J34" s="30"/>
      <c r="K34" s="30"/>
      <c r="L34" s="30"/>
      <c r="M34" s="30"/>
      <c r="N34" s="30"/>
      <c r="O34" s="30"/>
      <c r="P34" s="30"/>
      <c r="Q34" s="33">
        <f t="shared" ref="Q34:X34" si="16">SUM(Q4:Q33)</f>
        <v>233308</v>
      </c>
      <c r="R34" s="33">
        <f t="shared" si="16"/>
        <v>233308</v>
      </c>
      <c r="S34" s="33">
        <f t="shared" si="16"/>
        <v>0</v>
      </c>
      <c r="T34" s="33">
        <f t="shared" si="16"/>
        <v>4779.9199999999992</v>
      </c>
      <c r="U34" s="33">
        <f t="shared" si="16"/>
        <v>146.37</v>
      </c>
      <c r="V34" s="33">
        <f t="shared" si="16"/>
        <v>227927.96</v>
      </c>
      <c r="W34" s="33">
        <f t="shared" si="16"/>
        <v>228528.08000000002</v>
      </c>
      <c r="X34" s="33">
        <f t="shared" si="16"/>
        <v>227927.96</v>
      </c>
      <c r="Y34" s="30"/>
    </row>
  </sheetData>
  <pageMargins left="0" right="0" top="0" bottom="0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Eventos Conhecidos - PF</vt:lpstr>
      <vt:lpstr>Eventos Conhecidos - PJ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Vanesa da Rocha Leal</dc:creator>
  <cp:lastModifiedBy>Jefferson Lopes Carvalho</cp:lastModifiedBy>
  <cp:lastPrinted>2013-12-09T18:50:58Z</cp:lastPrinted>
  <dcterms:created xsi:type="dcterms:W3CDTF">2013-08-01T18:59:15Z</dcterms:created>
  <dcterms:modified xsi:type="dcterms:W3CDTF">2026-04-06T14:16:53Z</dcterms:modified>
</cp:coreProperties>
</file>