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Odontoart\ANS\Contabilidade\Planos\Eventos\Liquidados\2026\03.2026\"/>
    </mc:Choice>
  </mc:AlternateContent>
  <xr:revisionPtr revIDLastSave="0" documentId="13_ncr:1_{1FD4B4E8-8979-4BC8-B6DC-0BB68C15F3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ventos Liquidados" sheetId="1" r:id="rId1"/>
  </sheets>
  <definedNames>
    <definedName name="_xlnm._FilterDatabase" localSheetId="0" hidden="1">'Eventos Liquidados'!$A$3:$AD$48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0" i="1" l="1"/>
  <c r="AA10" i="1"/>
  <c r="Z10" i="1"/>
  <c r="AD9" i="1"/>
  <c r="AA9" i="1"/>
  <c r="Z9" i="1"/>
  <c r="AD8" i="1"/>
  <c r="AA8" i="1"/>
  <c r="Z8" i="1"/>
  <c r="AD7" i="1"/>
  <c r="AA7" i="1"/>
  <c r="Z7" i="1"/>
  <c r="AD6" i="1"/>
  <c r="AA6" i="1"/>
  <c r="Z6" i="1"/>
  <c r="AD5" i="1"/>
  <c r="AA5" i="1"/>
  <c r="Z5" i="1"/>
  <c r="AD4" i="1" l="1"/>
  <c r="AA4" i="1"/>
  <c r="Z4" i="1"/>
  <c r="AD13" i="1" l="1"/>
  <c r="AA13" i="1"/>
  <c r="Z13" i="1"/>
  <c r="U48" i="1"/>
  <c r="AD19" i="1"/>
  <c r="AA19" i="1"/>
  <c r="Z19" i="1"/>
  <c r="AD18" i="1"/>
  <c r="AA18" i="1"/>
  <c r="Z18" i="1"/>
  <c r="AD17" i="1"/>
  <c r="AA17" i="1"/>
  <c r="Z17" i="1"/>
  <c r="R48" i="1"/>
  <c r="K48" i="1"/>
  <c r="S48" i="1"/>
  <c r="T48" i="1"/>
  <c r="V48" i="1"/>
  <c r="W48" i="1"/>
  <c r="X48" i="1"/>
  <c r="Y48" i="1"/>
  <c r="AA43" i="1"/>
  <c r="AD21" i="1"/>
  <c r="AA21" i="1"/>
  <c r="Z21" i="1"/>
  <c r="AD20" i="1"/>
  <c r="AA20" i="1"/>
  <c r="Z20" i="1"/>
  <c r="AD16" i="1"/>
  <c r="AA16" i="1"/>
  <c r="Z16" i="1"/>
  <c r="Z11" i="1"/>
  <c r="Z12" i="1"/>
  <c r="Z14" i="1"/>
  <c r="Z15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AD12" i="1"/>
  <c r="AA12" i="1"/>
  <c r="AD11" i="1"/>
  <c r="AA11" i="1"/>
  <c r="AD14" i="1"/>
  <c r="AA14" i="1"/>
  <c r="AD15" i="1" l="1"/>
  <c r="AA15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A22" i="1" l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4" i="1"/>
  <c r="AA45" i="1"/>
  <c r="AA46" i="1"/>
  <c r="AA47" i="1"/>
  <c r="Z48" i="1" l="1"/>
  <c r="AA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Cezar</author>
    <author>Cezar Augusto</author>
    <author>Jefferson Lopes Carvalho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Cezar:</t>
        </r>
        <r>
          <rPr>
            <sz val="9"/>
            <color indexed="81"/>
            <rFont val="Tahoma"/>
            <family val="2"/>
          </rPr>
          <t xml:space="preserve">
Coluna Data Conhecimento</t>
        </r>
      </text>
    </comment>
    <comment ref="B3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Cezar Augusto:</t>
        </r>
        <r>
          <rPr>
            <sz val="9"/>
            <color indexed="81"/>
            <rFont val="Tahoma"/>
            <family val="2"/>
          </rPr>
          <t xml:space="preserve">
= Competencia</t>
        </r>
      </text>
    </comment>
    <comment ref="C3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Cezar Augusto:</t>
        </r>
        <r>
          <rPr>
            <sz val="9"/>
            <color indexed="81"/>
            <rFont val="Tahoma"/>
            <family val="2"/>
          </rPr>
          <t xml:space="preserve">
Codigo do prestador no sistema s4e</t>
        </r>
      </text>
    </comment>
    <comment ref="K3" authorId="2" shapeId="0" xr:uid="{FF855672-0010-43A9-8EA3-239CB2526330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Carvalho:
= AO VALOR BRUTO</t>
        </r>
      </text>
    </comment>
    <comment ref="Z3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PF:
(Bruto (-) INSS (-) ISS)
PJ:
(Bruto (-) ISS (-) IR</t>
        </r>
      </text>
    </comment>
    <comment ref="AC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Cezar:</t>
        </r>
        <r>
          <rPr>
            <sz val="9"/>
            <color indexed="81"/>
            <rFont val="Tahoma"/>
            <family val="2"/>
          </rPr>
          <t xml:space="preserve">
Conta e Banco ou
Caixa</t>
        </r>
      </text>
    </comment>
  </commentList>
</comments>
</file>

<file path=xl/sharedStrings.xml><?xml version="1.0" encoding="utf-8"?>
<sst xmlns="http://schemas.openxmlformats.org/spreadsheetml/2006/main" count="251" uniqueCount="138">
  <si>
    <t>COMP</t>
  </si>
  <si>
    <t>DT. AVISO</t>
  </si>
  <si>
    <t>CNPJ/CPF</t>
  </si>
  <si>
    <t>DOCUMENTO</t>
  </si>
  <si>
    <t>N. DOC</t>
  </si>
  <si>
    <t>VENCIMENTO</t>
  </si>
  <si>
    <t>REGISTRO</t>
  </si>
  <si>
    <t>DT. PAGTO</t>
  </si>
  <si>
    <t>PF/PJ</t>
  </si>
  <si>
    <t>EMISSÃO</t>
  </si>
  <si>
    <t>VL. BRUTO</t>
  </si>
  <si>
    <t>INSS</t>
  </si>
  <si>
    <t>ISS</t>
  </si>
  <si>
    <t>IR</t>
  </si>
  <si>
    <t>NOME-PRESTADOR                                              (TITULAR)</t>
  </si>
  <si>
    <t>BANCO</t>
  </si>
  <si>
    <t>EMPRESARIAL</t>
  </si>
  <si>
    <t>INDIVIDUAL</t>
  </si>
  <si>
    <t>ORTODONTIA</t>
  </si>
  <si>
    <t>PIS</t>
  </si>
  <si>
    <t>COFINS</t>
  </si>
  <si>
    <t>CSLL</t>
  </si>
  <si>
    <t>Modelo de Pagamento</t>
  </si>
  <si>
    <t>LOTE</t>
  </si>
  <si>
    <t>CODIGO</t>
  </si>
  <si>
    <t>LIQUIDO AGING</t>
  </si>
  <si>
    <t>VL PAGO</t>
  </si>
  <si>
    <t>TOTAL</t>
  </si>
  <si>
    <t>Cruzar com os Eventos Cancelados</t>
  </si>
  <si>
    <t>ADELINE LOPES DE ALBUQUERQUE - ORTODONTIA COD(7277) CRO: 3316</t>
  </si>
  <si>
    <t>ALEIDA ISABEL DE VEIGA MARTINS - ORTODONTIA COD(82877) CRO: 13531</t>
  </si>
  <si>
    <t>ALLANA ROBERTA BANDEIRA PEREIRA - ORTODONTIA COD(9362) CRO: 10652</t>
  </si>
  <si>
    <t>ANA CAROLINY GONÇALVES BEZERRA - ORTODONTIA COD(14760) CRO: 9466</t>
  </si>
  <si>
    <t>ANA SARAH BOTO NOGUEIRA - ORTODONTIA COD(9468) CRO: 7914</t>
  </si>
  <si>
    <t>ANDREZA MARIA SILVA NOGUEIRA - ORTODONTIA COD(15433) CRO: 10884</t>
  </si>
  <si>
    <t>ARISTOTELES DE BRITO MAGALHAES - ORTODONTIA COD(82737) CRO: 9557</t>
  </si>
  <si>
    <t>BIANCA DE SOUZA PINHEIRO - ORTODONTIA COD(5204) CRO: 5204</t>
  </si>
  <si>
    <t>BRUNO CAVALCANTE PAULINO - ORTODONTIA COD(7714) CRO: 6710</t>
  </si>
  <si>
    <t>CAIO CESAR ARRUDA - ORTODONTIA COD(8511) CRO: 8271</t>
  </si>
  <si>
    <t>CAIO ÉSIO VERÇOSA VIEIRA - ORTODONTIA COD(7004) CRO: 6596</t>
  </si>
  <si>
    <t>CINTIA MENDES NUNES - ORTODONTIA COD(9782) CRO: 8510</t>
  </si>
  <si>
    <t>CLEITON SIQUEIRA DE SOUSA - ORTODONTIA COD(15924) CRO: 8006</t>
  </si>
  <si>
    <t>DOUGLAS SILVA SANTANA - ORTODONTIA COD(7746) CRO: 6695</t>
  </si>
  <si>
    <t>EDELINE BARBOSA ARAUJO - ORTODONTIA COD(9295) CRO: 7895</t>
  </si>
  <si>
    <t>ELLEN SAMYLLE FARIAS PINTO - ORTODONTIA COD(15698) CRO: 11407</t>
  </si>
  <si>
    <t>ERIKA TELES DE VASCONCELOS - ORTODONTIA COD(7576) CRO: 7146</t>
  </si>
  <si>
    <t>FRANCISCO ARAUJO COSTA FILHO - ORTODONTIA COD(8834) CRO: 8098</t>
  </si>
  <si>
    <t>GABRIELLA DANTAS COSTA - ORTODONTIA COD(8047) CRO: 8186</t>
  </si>
  <si>
    <t>HELANE SUELE RIBEIRO ALVES - ORTODONTIA COD(14712) CRO: 10021</t>
  </si>
  <si>
    <t>INGRYD DA SILVA MARTINS - ORTODONTIA COD(9817) CRO: 9633</t>
  </si>
  <si>
    <t>JANICE CARVALHO MACHADO LINS - ORTODONTIA COD(5064) CRO: 5064</t>
  </si>
  <si>
    <t>KARINNA VASCONCELOS MOREIRA PONTES - ORTODONTIA COD(8035) CRO: 4572</t>
  </si>
  <si>
    <t>LARA JORDANA AZEVEDO HENRIQUE - ORTODONTIA COD(9947) CRO: 9635</t>
  </si>
  <si>
    <t>LIANA ROMERO MIRANDA - ORTODONTIA COD(7571) CRO: 6712</t>
  </si>
  <si>
    <t>LIRYA NAGYLA DE SOUZA CAVALCANTE - ORTODONTIA COD(9460) CRO: 9088</t>
  </si>
  <si>
    <t>LUANA ESPINOLA FERREIRA DE ARAUJO - ORTODONTIA COD(9097) CRO: 8304</t>
  </si>
  <si>
    <t>LUCIVANIA DA SILVA GONÇALVES - ORTODONTIA COD(15093) CRO: 9680</t>
  </si>
  <si>
    <t>MARIA JANEDSA SILVA CAVALCANTE - ORTODONTIA COD(8777) CRO: 8294</t>
  </si>
  <si>
    <t>MARIA JULIA DOS SANTOS GOIS - ORTODONTIA COD(7545) CRO: 5162</t>
  </si>
  <si>
    <t>MATEUS DE SOUSA SANTOS - ORTODONTIA COD(15977) CRO: 13765</t>
  </si>
  <si>
    <t>NARA LUCIA COSTA FARIAS - ORTODONTIA COD(7924) CRO: 4895</t>
  </si>
  <si>
    <t>PAULO VICTOR PINHEIRO BRAZ - ORTODONTIA COD(10053) CRO: 9582</t>
  </si>
  <si>
    <t>PRISCILA PEREIRA ARAUJO - ORTODONTIA COD(8087) CRO: 7948</t>
  </si>
  <si>
    <t>RAFAEL DOUGLAS LIMA GONÇALVES - ORTODONTIA COD(7792) CRO: 5677</t>
  </si>
  <si>
    <t>RAFAEL MACIEL DE OLIVEIRA - ORTODONTIA COD(6980) CRO: 6279</t>
  </si>
  <si>
    <t>RAFAELLE LAYS BRITO CABRAL - ORTODONTIA COD(8589) CRO: 8298</t>
  </si>
  <si>
    <t>TATIANA MARIA ROCHA SANTOS - ORTODONTIA COD(7577) CRO: 5799</t>
  </si>
  <si>
    <t>THAIS VASCONCELOS PONTES - ORTODONTIA COD(15894) CRO: 15092</t>
  </si>
  <si>
    <t>THAYS OLIVEIRA SANTIAGO - ORTODONTIA COD(15975) CRO: 14760</t>
  </si>
  <si>
    <t>YARA GRANJEIRO F DE LUCENA - ORTODONTIA COD(7280) CRO: 5264</t>
  </si>
  <si>
    <t>YURI JIVAGO PEREIRA CARVALHO - ORTODONTIA COD(15934) CRO: 6644</t>
  </si>
  <si>
    <t>RPA INTERNO ORTODONTIA - ITAU</t>
  </si>
  <si>
    <t>NF INTERNO ORTODONTIA SIMPLES C/ ISS - 2,17%-ITAU</t>
  </si>
  <si>
    <t>NF INTERNO ORTODONTIA SIMPLES C/ ISS - 2,01%-ITAU</t>
  </si>
  <si>
    <t>RPA INTERNO ORTODONTIA - BANCO DO BRASIL</t>
  </si>
  <si>
    <t>NF INTERNO ORTODONTIA SIMPLES SEM ISS -ITAÚ</t>
  </si>
  <si>
    <t>NF INTERNO ORTODONTIA SIMPLES C/ ISS - 2,17%- BB</t>
  </si>
  <si>
    <t>NF INTERNO ORTODONTIA-ITAU</t>
  </si>
  <si>
    <t>NF INTERNO ORTODONTIA SIMPLES C/ ISS - 2,01%- BB</t>
  </si>
  <si>
    <t>NF INTERNO ORTODONTIA SIMPLES C/ ISS - 2,00%-ITAU</t>
  </si>
  <si>
    <t>PJ</t>
  </si>
  <si>
    <t>PF</t>
  </si>
  <si>
    <t>393.513.863-68</t>
  </si>
  <si>
    <t>082.843.561-80</t>
  </si>
  <si>
    <t>52.962.935/0001-52</t>
  </si>
  <si>
    <t>53.132.145/0001-02</t>
  </si>
  <si>
    <t>669.111.923-15</t>
  </si>
  <si>
    <t>57.316.577/0001-24</t>
  </si>
  <si>
    <t>029.648.703-14</t>
  </si>
  <si>
    <t>53.288.632/0001-69</t>
  </si>
  <si>
    <t>48.728.204/0001-70</t>
  </si>
  <si>
    <t>24.398.623/0001-22</t>
  </si>
  <si>
    <t>19.163.103/0001-09</t>
  </si>
  <si>
    <t>57.802.578/0001-89</t>
  </si>
  <si>
    <t>53.194.225/0001-92</t>
  </si>
  <si>
    <t>58.645.927/0001-69</t>
  </si>
  <si>
    <t>062.246.843-08</t>
  </si>
  <si>
    <t>53.145.789/0001-35</t>
  </si>
  <si>
    <t>014.732.273-13</t>
  </si>
  <si>
    <t>41.947.019/0001-27</t>
  </si>
  <si>
    <t>53.038.880/0001-51</t>
  </si>
  <si>
    <t>54.323.128/0001-15</t>
  </si>
  <si>
    <t>53.171.191/0001-10</t>
  </si>
  <si>
    <t>53.194.469/0001-75</t>
  </si>
  <si>
    <t>020.499.903-08</t>
  </si>
  <si>
    <t>53.101.513/0001-55</t>
  </si>
  <si>
    <t>54.341.655/0001-52</t>
  </si>
  <si>
    <t>048.126.023-43</t>
  </si>
  <si>
    <t>57.069.761/0001-17</t>
  </si>
  <si>
    <t>53.159.421/0001-26</t>
  </si>
  <si>
    <t>52.852.264/0001-77</t>
  </si>
  <si>
    <t>001.756.663-00</t>
  </si>
  <si>
    <t>53.129.602/0001-00</t>
  </si>
  <si>
    <t>52.989.467/0001-00</t>
  </si>
  <si>
    <t>53.609.941/0001-93</t>
  </si>
  <si>
    <t>18.347.134/0001-49</t>
  </si>
  <si>
    <t>641.871.013-49</t>
  </si>
  <si>
    <t>014.091.393-95</t>
  </si>
  <si>
    <t>58.874.920/0001-19</t>
  </si>
  <si>
    <t>60.182.289/0001-39</t>
  </si>
  <si>
    <t>018.362.033-06</t>
  </si>
  <si>
    <t>CAIXA ECONOMICA FEDERAL (104)</t>
  </si>
  <si>
    <t>MERCADOPAGO.COM REPRESENTACOES LTDA (323)</t>
  </si>
  <si>
    <t>BANCO ITAU S.A. (341)</t>
  </si>
  <si>
    <t>CORA SOCIEDADE DE CREDITO DIRETO S.A (403)</t>
  </si>
  <si>
    <t>BANCO DO BRASIL S.A. (001)</t>
  </si>
  <si>
    <t>NU PAGAMENTOS S.A. (260)</t>
  </si>
  <si>
    <t>BANCO INTER SA (077)</t>
  </si>
  <si>
    <t>BANCO C6 S.A (336)</t>
  </si>
  <si>
    <t>BANCO BTG PACTUAL S.A. (208)</t>
  </si>
  <si>
    <t>TAMARA DE FREITAS SOUZA - ORTODONTIA COD(15541) CRO: 12204</t>
  </si>
  <si>
    <t>42.294.204/0001-22</t>
  </si>
  <si>
    <t>64.479.061/0001-66</t>
  </si>
  <si>
    <t>893.856.833-49</t>
  </si>
  <si>
    <t>64.739.264/0001-44</t>
  </si>
  <si>
    <t>ODONTOART - EVENTOS LIQUIDADOS ORTODONTIA  -  MARÇO/2026</t>
  </si>
  <si>
    <t>ANA INARA RODRIGUES PEREIRA - ORTODONTIA COD(82942) CRO: 14979</t>
  </si>
  <si>
    <t>611.090.993-98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</si>
</sst>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mm/yy"/>
    <numFmt numFmtId="166" formatCode="d/m;@"/>
  </numFmts>
  <fonts count="2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3"/>
      <color rgb="FFFF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20" borderId="0" applyNumberFormat="0" applyBorder="0" applyAlignment="0" applyProtection="0"/>
    <xf numFmtId="0" fontId="6" fillId="21" borderId="2" applyNumberFormat="0" applyAlignment="0" applyProtection="0"/>
    <xf numFmtId="0" fontId="7" fillId="22" borderId="3" applyNumberFormat="0" applyAlignment="0" applyProtection="0"/>
    <xf numFmtId="0" fontId="8" fillId="0" borderId="4" applyNumberFormat="0" applyFill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9" fillId="29" borderId="2" applyNumberFormat="0" applyAlignment="0" applyProtection="0"/>
    <xf numFmtId="0" fontId="3" fillId="30" borderId="5" applyNumberFormat="0" applyFont="0" applyAlignment="0" applyProtection="0"/>
    <xf numFmtId="0" fontId="10" fillId="21" borderId="6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8">
    <xf numFmtId="0" fontId="0" fillId="0" borderId="0" xfId="0"/>
    <xf numFmtId="165" fontId="0" fillId="0" borderId="0" xfId="0" applyNumberFormat="1"/>
    <xf numFmtId="43" fontId="3" fillId="0" borderId="0" xfId="40" applyFont="1"/>
    <xf numFmtId="0" fontId="0" fillId="0" borderId="0" xfId="0" applyAlignment="1">
      <alignment horizontal="center"/>
    </xf>
    <xf numFmtId="164" fontId="0" fillId="0" borderId="0" xfId="0" applyNumberFormat="1"/>
    <xf numFmtId="14" fontId="18" fillId="0" borderId="1" xfId="0" applyNumberFormat="1" applyFont="1" applyBorder="1"/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43" fontId="18" fillId="0" borderId="1" xfId="40" applyFont="1" applyBorder="1"/>
    <xf numFmtId="43" fontId="18" fillId="31" borderId="1" xfId="40" applyFont="1" applyFill="1" applyBorder="1"/>
    <xf numFmtId="1" fontId="0" fillId="0" borderId="0" xfId="0" applyNumberFormat="1"/>
    <xf numFmtId="3" fontId="18" fillId="0" borderId="1" xfId="0" applyNumberFormat="1" applyFont="1" applyBorder="1"/>
    <xf numFmtId="0" fontId="18" fillId="0" borderId="0" xfId="0" applyFont="1"/>
    <xf numFmtId="166" fontId="19" fillId="0" borderId="0" xfId="0" applyNumberFormat="1" applyFont="1" applyAlignment="1">
      <alignment horizontal="center"/>
    </xf>
    <xf numFmtId="43" fontId="3" fillId="0" borderId="0" xfId="40" applyFont="1" applyAlignment="1">
      <alignment horizontal="center"/>
    </xf>
    <xf numFmtId="43" fontId="18" fillId="0" borderId="1" xfId="40" applyFont="1" applyBorder="1" applyAlignment="1">
      <alignment horizontal="center"/>
    </xf>
    <xf numFmtId="166" fontId="19" fillId="0" borderId="0" xfId="0" applyNumberFormat="1" applyFont="1"/>
    <xf numFmtId="43" fontId="18" fillId="0" borderId="0" xfId="0" applyNumberFormat="1" applyFont="1"/>
    <xf numFmtId="165" fontId="17" fillId="32" borderId="1" xfId="0" applyNumberFormat="1" applyFont="1" applyFill="1" applyBorder="1" applyAlignment="1">
      <alignment horizontal="center"/>
    </xf>
    <xf numFmtId="0" fontId="17" fillId="32" borderId="1" xfId="0" applyFont="1" applyFill="1" applyBorder="1" applyAlignment="1">
      <alignment horizontal="center"/>
    </xf>
    <xf numFmtId="43" fontId="17" fillId="32" borderId="1" xfId="40" applyFont="1" applyFill="1" applyBorder="1" applyAlignment="1">
      <alignment horizontal="center"/>
    </xf>
    <xf numFmtId="1" fontId="17" fillId="33" borderId="1" xfId="0" applyNumberFormat="1" applyFont="1" applyFill="1" applyBorder="1" applyAlignment="1">
      <alignment horizontal="center"/>
    </xf>
    <xf numFmtId="0" fontId="17" fillId="33" borderId="1" xfId="0" applyFont="1" applyFill="1" applyBorder="1" applyAlignment="1">
      <alignment horizontal="center"/>
    </xf>
    <xf numFmtId="164" fontId="17" fillId="32" borderId="1" xfId="0" applyNumberFormat="1" applyFont="1" applyFill="1" applyBorder="1" applyAlignment="1">
      <alignment horizontal="center"/>
    </xf>
    <xf numFmtId="43" fontId="17" fillId="34" borderId="1" xfId="40" applyFont="1" applyFill="1" applyBorder="1" applyAlignment="1">
      <alignment horizontal="center"/>
    </xf>
    <xf numFmtId="0" fontId="17" fillId="31" borderId="1" xfId="40" applyNumberFormat="1" applyFont="1" applyFill="1" applyBorder="1" applyAlignment="1">
      <alignment horizontal="center"/>
    </xf>
    <xf numFmtId="43" fontId="17" fillId="36" borderId="1" xfId="40" applyFont="1" applyFill="1" applyBorder="1" applyAlignment="1">
      <alignment horizontal="center"/>
    </xf>
    <xf numFmtId="165" fontId="18" fillId="0" borderId="1" xfId="0" applyNumberFormat="1" applyFont="1" applyBorder="1"/>
    <xf numFmtId="0" fontId="20" fillId="0" borderId="11" xfId="0" applyFont="1" applyBorder="1" applyAlignment="1">
      <alignment vertical="center"/>
    </xf>
    <xf numFmtId="44" fontId="20" fillId="0" borderId="11" xfId="0" applyNumberFormat="1" applyFont="1" applyBorder="1"/>
    <xf numFmtId="165" fontId="17" fillId="35" borderId="1" xfId="0" applyNumberFormat="1" applyFont="1" applyFill="1" applyBorder="1"/>
    <xf numFmtId="0" fontId="17" fillId="35" borderId="1" xfId="0" applyFont="1" applyFill="1" applyBorder="1"/>
    <xf numFmtId="0" fontId="17" fillId="35" borderId="1" xfId="0" applyFont="1" applyFill="1" applyBorder="1" applyAlignment="1">
      <alignment horizontal="center"/>
    </xf>
    <xf numFmtId="43" fontId="17" fillId="35" borderId="1" xfId="40" applyFont="1" applyFill="1" applyBorder="1" applyAlignment="1">
      <alignment horizontal="center"/>
    </xf>
    <xf numFmtId="1" fontId="17" fillId="35" borderId="1" xfId="0" applyNumberFormat="1" applyFont="1" applyFill="1" applyBorder="1"/>
    <xf numFmtId="0" fontId="17" fillId="0" borderId="0" xfId="0" applyFont="1"/>
    <xf numFmtId="0" fontId="20" fillId="0" borderId="11" xfId="0" applyFont="1" applyBorder="1" applyAlignment="1">
      <alignment horizontal="center" vertical="center"/>
    </xf>
    <xf numFmtId="165" fontId="23" fillId="0" borderId="0" xfId="0" applyNumberFormat="1" applyFont="1"/>
  </cellXfs>
  <cellStyles count="43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ormal" xfId="0" builtinId="0"/>
    <cellStyle name="Nota" xfId="30" builtinId="10" customBuiltin="1"/>
    <cellStyle name="Saída" xfId="31" builtinId="21" customBuiltin="1"/>
    <cellStyle name="Texto de Aviso" xfId="32" builtinId="11" customBuiltin="1"/>
    <cellStyle name="Texto Explicativo" xfId="33" builtinId="53" customBuiltin="1"/>
    <cellStyle name="Título" xfId="34" builtinId="15" customBuiltin="1"/>
    <cellStyle name="Título 1" xfId="35" builtinId="16" customBuiltin="1"/>
    <cellStyle name="Título 2" xfId="36" builtinId="17" customBuiltin="1"/>
    <cellStyle name="Título 3" xfId="37" builtinId="18" customBuiltin="1"/>
    <cellStyle name="Título 4" xfId="38" builtinId="19" customBuiltin="1"/>
    <cellStyle name="Total" xfId="39" builtinId="25" customBuiltin="1"/>
    <cellStyle name="Vírgula" xfId="40" builtinId="3"/>
    <cellStyle name="Vírgula 2" xfId="41" xr:uid="{00000000-0005-0000-0000-000029000000}"/>
    <cellStyle name="Vírgula 3" xfId="42" xr:uid="{F3DB7579-69AA-4292-AD11-784635F567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8"/>
  <sheetViews>
    <sheetView tabSelected="1" zoomScale="85" zoomScaleNormal="85" workbookViewId="0">
      <pane ySplit="3" topLeftCell="A4" activePane="bottomLeft" state="frozen"/>
      <selection pane="bottomLeft"/>
    </sheetView>
  </sheetViews>
  <sheetFormatPr defaultRowHeight="15" x14ac:dyDescent="0.25"/>
  <cols>
    <col min="1" max="1" width="6.5703125" style="1" bestFit="1" customWidth="1"/>
    <col min="2" max="2" width="10.7109375" bestFit="1" customWidth="1"/>
    <col min="3" max="3" width="10.7109375" customWidth="1"/>
    <col min="4" max="4" width="9.140625" style="3" bestFit="1" customWidth="1"/>
    <col min="5" max="5" width="76.7109375" bestFit="1" customWidth="1"/>
    <col min="6" max="6" width="44.7109375" bestFit="1" customWidth="1"/>
    <col min="7" max="7" width="5.85546875" style="3" bestFit="1" customWidth="1"/>
    <col min="8" max="8" width="17.5703125" style="3" bestFit="1" customWidth="1"/>
    <col min="9" max="9" width="13.42578125" style="14" hidden="1" customWidth="1"/>
    <col min="10" max="10" width="11.5703125" style="14" hidden="1" customWidth="1"/>
    <col min="11" max="11" width="13.140625" style="14" bestFit="1" customWidth="1"/>
    <col min="12" max="12" width="22.7109375" style="10" hidden="1" customWidth="1"/>
    <col min="13" max="13" width="13.140625" hidden="1" customWidth="1"/>
    <col min="14" max="14" width="9.140625" hidden="1" customWidth="1"/>
    <col min="15" max="15" width="10.7109375" hidden="1" customWidth="1"/>
    <col min="16" max="17" width="13.140625" hidden="1" customWidth="1"/>
    <col min="18" max="18" width="17" style="4" bestFit="1" customWidth="1"/>
    <col min="19" max="21" width="11.7109375" style="4" customWidth="1"/>
    <col min="22" max="25" width="13.28515625" style="2" customWidth="1"/>
    <col min="26" max="26" width="14.85546875" style="2" customWidth="1"/>
    <col min="27" max="27" width="10.5703125" style="2" bestFit="1" customWidth="1"/>
    <col min="28" max="28" width="13" customWidth="1"/>
    <col min="29" max="29" width="50" bestFit="1" customWidth="1"/>
    <col min="30" max="30" width="9.5703125" bestFit="1" customWidth="1"/>
  </cols>
  <sheetData>
    <row r="1" spans="1:30" ht="21" x14ac:dyDescent="0.35">
      <c r="A1" s="16" t="s">
        <v>135</v>
      </c>
      <c r="B1" s="16"/>
      <c r="C1" s="16"/>
      <c r="D1" s="13"/>
      <c r="E1" s="16"/>
      <c r="F1" s="16"/>
      <c r="G1" s="16"/>
      <c r="H1" s="13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3"/>
    </row>
    <row r="2" spans="1:30" ht="17.25" x14ac:dyDescent="0.3">
      <c r="A2" s="37" t="s">
        <v>28</v>
      </c>
    </row>
    <row r="3" spans="1:30" ht="14.25" customHeight="1" x14ac:dyDescent="0.25">
      <c r="A3" s="18" t="s">
        <v>0</v>
      </c>
      <c r="B3" s="19" t="s">
        <v>1</v>
      </c>
      <c r="C3" s="19" t="s">
        <v>24</v>
      </c>
      <c r="D3" s="19" t="s">
        <v>23</v>
      </c>
      <c r="E3" s="19" t="s">
        <v>14</v>
      </c>
      <c r="F3" s="19" t="s">
        <v>22</v>
      </c>
      <c r="G3" s="19" t="s">
        <v>8</v>
      </c>
      <c r="H3" s="19" t="s">
        <v>2</v>
      </c>
      <c r="I3" s="26" t="s">
        <v>16</v>
      </c>
      <c r="J3" s="26" t="s">
        <v>17</v>
      </c>
      <c r="K3" s="20" t="s">
        <v>18</v>
      </c>
      <c r="L3" s="21" t="s">
        <v>2</v>
      </c>
      <c r="M3" s="22" t="s">
        <v>3</v>
      </c>
      <c r="N3" s="22" t="s">
        <v>4</v>
      </c>
      <c r="O3" s="22" t="s">
        <v>9</v>
      </c>
      <c r="P3" s="22" t="s">
        <v>5</v>
      </c>
      <c r="Q3" s="22" t="s">
        <v>6</v>
      </c>
      <c r="R3" s="23" t="s">
        <v>10</v>
      </c>
      <c r="S3" s="23" t="s">
        <v>19</v>
      </c>
      <c r="T3" s="23" t="s">
        <v>20</v>
      </c>
      <c r="U3" s="23" t="s">
        <v>21</v>
      </c>
      <c r="V3" s="20" t="s">
        <v>11</v>
      </c>
      <c r="W3" s="20" t="s">
        <v>12</v>
      </c>
      <c r="X3" s="20" t="s">
        <v>13</v>
      </c>
      <c r="Y3" s="20" t="s">
        <v>26</v>
      </c>
      <c r="Z3" s="24" t="s">
        <v>25</v>
      </c>
      <c r="AA3" s="25">
        <v>5952</v>
      </c>
      <c r="AB3" s="19" t="s">
        <v>7</v>
      </c>
      <c r="AC3" s="19" t="s">
        <v>15</v>
      </c>
    </row>
    <row r="4" spans="1:30" s="12" customFormat="1" x14ac:dyDescent="0.25">
      <c r="A4" s="27">
        <v>46086</v>
      </c>
      <c r="B4" s="27">
        <v>46086</v>
      </c>
      <c r="C4" s="28">
        <v>7277</v>
      </c>
      <c r="D4" s="36">
        <v>48002</v>
      </c>
      <c r="E4" s="28" t="s">
        <v>29</v>
      </c>
      <c r="F4" s="28" t="s">
        <v>71</v>
      </c>
      <c r="G4" s="7" t="s">
        <v>81</v>
      </c>
      <c r="H4" s="36" t="s">
        <v>82</v>
      </c>
      <c r="I4" s="15"/>
      <c r="J4" s="15"/>
      <c r="K4" s="29">
        <v>3434</v>
      </c>
      <c r="L4" s="8"/>
      <c r="M4" s="6"/>
      <c r="N4" s="11"/>
      <c r="O4" s="5"/>
      <c r="P4" s="5"/>
      <c r="Q4" s="5"/>
      <c r="R4" s="29">
        <v>3434</v>
      </c>
      <c r="S4" s="29">
        <v>0</v>
      </c>
      <c r="T4" s="29">
        <v>0</v>
      </c>
      <c r="U4" s="29">
        <v>0</v>
      </c>
      <c r="V4" s="29">
        <v>226.64</v>
      </c>
      <c r="W4" s="29">
        <v>68.680000000000007</v>
      </c>
      <c r="X4" s="29">
        <v>0</v>
      </c>
      <c r="Y4" s="29">
        <v>3138.68</v>
      </c>
      <c r="Z4" s="8">
        <f t="shared" ref="Z4" si="0">R4-V4-W4</f>
        <v>3138.6800000000003</v>
      </c>
      <c r="AA4" s="9">
        <f t="shared" ref="AA4" si="1">S4+T4+U4</f>
        <v>0</v>
      </c>
      <c r="AB4" s="5">
        <v>46091</v>
      </c>
      <c r="AC4" s="5" t="s">
        <v>121</v>
      </c>
      <c r="AD4" s="17">
        <f t="shared" ref="AD4" si="2">R4-S4-T4-U4-V4-W4-X4-Y4</f>
        <v>0</v>
      </c>
    </row>
    <row r="5" spans="1:30" s="12" customFormat="1" x14ac:dyDescent="0.25">
      <c r="A5" s="27">
        <v>46086</v>
      </c>
      <c r="B5" s="27">
        <v>46086</v>
      </c>
      <c r="C5" s="28">
        <v>82877</v>
      </c>
      <c r="D5" s="36">
        <v>47995</v>
      </c>
      <c r="E5" s="28" t="s">
        <v>30</v>
      </c>
      <c r="F5" s="28" t="s">
        <v>71</v>
      </c>
      <c r="G5" s="7" t="s">
        <v>81</v>
      </c>
      <c r="H5" s="36" t="s">
        <v>83</v>
      </c>
      <c r="I5" s="15"/>
      <c r="J5" s="15"/>
      <c r="K5" s="29">
        <v>3672</v>
      </c>
      <c r="L5" s="8"/>
      <c r="M5" s="6"/>
      <c r="N5" s="11"/>
      <c r="O5" s="5"/>
      <c r="P5" s="5"/>
      <c r="Q5" s="5"/>
      <c r="R5" s="29">
        <v>3672</v>
      </c>
      <c r="S5" s="29">
        <v>0</v>
      </c>
      <c r="T5" s="29">
        <v>0</v>
      </c>
      <c r="U5" s="29">
        <v>0</v>
      </c>
      <c r="V5" s="29">
        <v>242.35</v>
      </c>
      <c r="W5" s="29">
        <v>73.44</v>
      </c>
      <c r="X5" s="29">
        <v>0</v>
      </c>
      <c r="Y5" s="29">
        <v>3356.21</v>
      </c>
      <c r="Z5" s="8">
        <f t="shared" ref="Z5:Z10" si="3">R5-V5-W5</f>
        <v>3356.21</v>
      </c>
      <c r="AA5" s="9">
        <f t="shared" ref="AA5:AA10" si="4">S5+T5+U5</f>
        <v>0</v>
      </c>
      <c r="AB5" s="5">
        <v>46091</v>
      </c>
      <c r="AC5" s="5" t="s">
        <v>122</v>
      </c>
      <c r="AD5" s="17">
        <f t="shared" ref="AD5:AD10" si="5">R5-S5-T5-U5-V5-W5-X5-Y5</f>
        <v>0</v>
      </c>
    </row>
    <row r="6" spans="1:30" s="12" customFormat="1" x14ac:dyDescent="0.25">
      <c r="A6" s="27">
        <v>46086</v>
      </c>
      <c r="B6" s="27">
        <v>46086</v>
      </c>
      <c r="C6" s="28">
        <v>9362</v>
      </c>
      <c r="D6" s="36">
        <v>47985</v>
      </c>
      <c r="E6" s="28" t="s">
        <v>31</v>
      </c>
      <c r="F6" s="28" t="s">
        <v>72</v>
      </c>
      <c r="G6" s="7" t="s">
        <v>80</v>
      </c>
      <c r="H6" s="36" t="s">
        <v>84</v>
      </c>
      <c r="I6" s="15"/>
      <c r="J6" s="15"/>
      <c r="K6" s="29">
        <v>14212</v>
      </c>
      <c r="L6" s="8"/>
      <c r="M6" s="6"/>
      <c r="N6" s="11"/>
      <c r="O6" s="5"/>
      <c r="P6" s="5"/>
      <c r="Q6" s="5"/>
      <c r="R6" s="29">
        <v>14212</v>
      </c>
      <c r="S6" s="29">
        <v>0</v>
      </c>
      <c r="T6" s="29">
        <v>0</v>
      </c>
      <c r="U6" s="29">
        <v>0</v>
      </c>
      <c r="V6" s="29">
        <v>0</v>
      </c>
      <c r="W6" s="29">
        <v>308.39999999999998</v>
      </c>
      <c r="X6" s="29">
        <v>0</v>
      </c>
      <c r="Y6" s="29">
        <v>13903.6</v>
      </c>
      <c r="Z6" s="8">
        <f t="shared" si="3"/>
        <v>13903.6</v>
      </c>
      <c r="AA6" s="9">
        <f t="shared" si="4"/>
        <v>0</v>
      </c>
      <c r="AB6" s="5">
        <v>46091</v>
      </c>
      <c r="AC6" s="5" t="s">
        <v>123</v>
      </c>
      <c r="AD6" s="17">
        <f t="shared" si="5"/>
        <v>0</v>
      </c>
    </row>
    <row r="7" spans="1:30" s="12" customFormat="1" x14ac:dyDescent="0.25">
      <c r="A7" s="27">
        <v>46086</v>
      </c>
      <c r="B7" s="27">
        <v>46086</v>
      </c>
      <c r="C7" s="28">
        <v>14760</v>
      </c>
      <c r="D7" s="36">
        <v>48003</v>
      </c>
      <c r="E7" s="28" t="s">
        <v>32</v>
      </c>
      <c r="F7" s="28" t="s">
        <v>73</v>
      </c>
      <c r="G7" s="7" t="s">
        <v>80</v>
      </c>
      <c r="H7" s="36" t="s">
        <v>85</v>
      </c>
      <c r="I7" s="15"/>
      <c r="J7" s="15"/>
      <c r="K7" s="29">
        <v>16592</v>
      </c>
      <c r="L7" s="8"/>
      <c r="M7" s="6"/>
      <c r="N7" s="11"/>
      <c r="O7" s="5"/>
      <c r="P7" s="5"/>
      <c r="Q7" s="5"/>
      <c r="R7" s="29">
        <v>16592</v>
      </c>
      <c r="S7" s="29">
        <v>0</v>
      </c>
      <c r="T7" s="29">
        <v>0</v>
      </c>
      <c r="U7" s="29">
        <v>0</v>
      </c>
      <c r="V7" s="29">
        <v>0</v>
      </c>
      <c r="W7" s="29">
        <v>366.68</v>
      </c>
      <c r="X7" s="29">
        <v>0</v>
      </c>
      <c r="Y7" s="29">
        <v>16225.32</v>
      </c>
      <c r="Z7" s="8">
        <f t="shared" si="3"/>
        <v>16225.32</v>
      </c>
      <c r="AA7" s="9">
        <f t="shared" si="4"/>
        <v>0</v>
      </c>
      <c r="AB7" s="5">
        <v>46091</v>
      </c>
      <c r="AC7" s="5" t="s">
        <v>124</v>
      </c>
      <c r="AD7" s="17">
        <f t="shared" si="5"/>
        <v>0</v>
      </c>
    </row>
    <row r="8" spans="1:30" s="12" customFormat="1" x14ac:dyDescent="0.25">
      <c r="A8" s="27">
        <v>46086</v>
      </c>
      <c r="B8" s="27">
        <v>46086</v>
      </c>
      <c r="C8" s="28">
        <v>82942</v>
      </c>
      <c r="D8" s="36">
        <v>48028</v>
      </c>
      <c r="E8" s="28" t="s">
        <v>136</v>
      </c>
      <c r="F8" s="28" t="s">
        <v>71</v>
      </c>
      <c r="G8" s="7" t="s">
        <v>81</v>
      </c>
      <c r="H8" s="36" t="s">
        <v>137</v>
      </c>
      <c r="I8" s="15"/>
      <c r="J8" s="15"/>
      <c r="K8" s="29">
        <v>408</v>
      </c>
      <c r="L8" s="8"/>
      <c r="M8" s="6"/>
      <c r="N8" s="11"/>
      <c r="O8" s="5"/>
      <c r="P8" s="5"/>
      <c r="Q8" s="5"/>
      <c r="R8" s="29">
        <v>408</v>
      </c>
      <c r="S8" s="29">
        <v>0</v>
      </c>
      <c r="T8" s="29">
        <v>0</v>
      </c>
      <c r="U8" s="29">
        <v>0</v>
      </c>
      <c r="V8" s="29">
        <v>26.93</v>
      </c>
      <c r="W8" s="29">
        <v>8.16</v>
      </c>
      <c r="X8" s="29">
        <v>0</v>
      </c>
      <c r="Y8" s="29">
        <v>372.91</v>
      </c>
      <c r="Z8" s="8">
        <f t="shared" si="3"/>
        <v>372.90999999999997</v>
      </c>
      <c r="AA8" s="9">
        <f t="shared" si="4"/>
        <v>0</v>
      </c>
      <c r="AB8" s="5">
        <v>46091</v>
      </c>
      <c r="AC8" s="5" t="s">
        <v>126</v>
      </c>
      <c r="AD8" s="17">
        <f t="shared" si="5"/>
        <v>0</v>
      </c>
    </row>
    <row r="9" spans="1:30" s="12" customFormat="1" x14ac:dyDescent="0.25">
      <c r="A9" s="27">
        <v>46086</v>
      </c>
      <c r="B9" s="27">
        <v>46086</v>
      </c>
      <c r="C9" s="28">
        <v>9468</v>
      </c>
      <c r="D9" s="36">
        <v>48016</v>
      </c>
      <c r="E9" s="28" t="s">
        <v>33</v>
      </c>
      <c r="F9" s="28" t="s">
        <v>74</v>
      </c>
      <c r="G9" s="7" t="s">
        <v>81</v>
      </c>
      <c r="H9" s="36" t="s">
        <v>86</v>
      </c>
      <c r="I9" s="15"/>
      <c r="J9" s="15"/>
      <c r="K9" s="29">
        <v>6664</v>
      </c>
      <c r="L9" s="8"/>
      <c r="M9" s="6"/>
      <c r="N9" s="11"/>
      <c r="O9" s="5"/>
      <c r="P9" s="5"/>
      <c r="Q9" s="5"/>
      <c r="R9" s="29">
        <v>6664</v>
      </c>
      <c r="S9" s="29">
        <v>0</v>
      </c>
      <c r="T9" s="29">
        <v>0</v>
      </c>
      <c r="U9" s="29">
        <v>0</v>
      </c>
      <c r="V9" s="29">
        <v>439.82</v>
      </c>
      <c r="W9" s="29">
        <v>133.28</v>
      </c>
      <c r="X9" s="29">
        <v>741</v>
      </c>
      <c r="Y9" s="29">
        <v>5349.9</v>
      </c>
      <c r="Z9" s="8">
        <f t="shared" si="3"/>
        <v>6090.9000000000005</v>
      </c>
      <c r="AA9" s="9">
        <f t="shared" si="4"/>
        <v>0</v>
      </c>
      <c r="AB9" s="5">
        <v>46091</v>
      </c>
      <c r="AC9" s="5" t="s">
        <v>125</v>
      </c>
      <c r="AD9" s="17">
        <f t="shared" si="5"/>
        <v>0</v>
      </c>
    </row>
    <row r="10" spans="1:30" s="12" customFormat="1" x14ac:dyDescent="0.25">
      <c r="A10" s="27">
        <v>46086</v>
      </c>
      <c r="B10" s="27">
        <v>46086</v>
      </c>
      <c r="C10" s="28">
        <v>15433</v>
      </c>
      <c r="D10" s="36">
        <v>47986</v>
      </c>
      <c r="E10" s="28" t="s">
        <v>34</v>
      </c>
      <c r="F10" s="28" t="s">
        <v>73</v>
      </c>
      <c r="G10" s="7" t="s">
        <v>80</v>
      </c>
      <c r="H10" s="36" t="s">
        <v>87</v>
      </c>
      <c r="I10" s="15"/>
      <c r="J10" s="15"/>
      <c r="K10" s="29">
        <v>8738</v>
      </c>
      <c r="L10" s="8"/>
      <c r="M10" s="6"/>
      <c r="N10" s="11"/>
      <c r="O10" s="5"/>
      <c r="P10" s="5"/>
      <c r="Q10" s="5"/>
      <c r="R10" s="29">
        <v>8738</v>
      </c>
      <c r="S10" s="29">
        <v>0</v>
      </c>
      <c r="T10" s="29">
        <v>0</v>
      </c>
      <c r="U10" s="29">
        <v>0</v>
      </c>
      <c r="V10" s="29">
        <v>0</v>
      </c>
      <c r="W10" s="29">
        <v>175.63</v>
      </c>
      <c r="X10" s="29">
        <v>0</v>
      </c>
      <c r="Y10" s="29">
        <v>8562.3700000000008</v>
      </c>
      <c r="Z10" s="8">
        <f t="shared" si="3"/>
        <v>8562.3700000000008</v>
      </c>
      <c r="AA10" s="9">
        <f t="shared" si="4"/>
        <v>0</v>
      </c>
      <c r="AB10" s="5">
        <v>46091</v>
      </c>
      <c r="AC10" s="5" t="s">
        <v>126</v>
      </c>
      <c r="AD10" s="17">
        <f t="shared" si="5"/>
        <v>0</v>
      </c>
    </row>
    <row r="11" spans="1:30" s="12" customFormat="1" x14ac:dyDescent="0.25">
      <c r="A11" s="27">
        <v>46086</v>
      </c>
      <c r="B11" s="27">
        <v>46086</v>
      </c>
      <c r="C11" s="28">
        <v>82737</v>
      </c>
      <c r="D11" s="36">
        <v>48023</v>
      </c>
      <c r="E11" s="28" t="s">
        <v>35</v>
      </c>
      <c r="F11" s="28" t="s">
        <v>71</v>
      </c>
      <c r="G11" s="7" t="s">
        <v>81</v>
      </c>
      <c r="H11" s="36" t="s">
        <v>88</v>
      </c>
      <c r="I11" s="15"/>
      <c r="J11" s="15"/>
      <c r="K11" s="29">
        <v>510</v>
      </c>
      <c r="L11" s="8"/>
      <c r="M11" s="6"/>
      <c r="N11" s="11"/>
      <c r="O11" s="5"/>
      <c r="P11" s="5"/>
      <c r="Q11" s="5"/>
      <c r="R11" s="29">
        <v>510</v>
      </c>
      <c r="S11" s="29">
        <v>0</v>
      </c>
      <c r="T11" s="29">
        <v>0</v>
      </c>
      <c r="U11" s="29">
        <v>0</v>
      </c>
      <c r="V11" s="29">
        <v>33.659999999999997</v>
      </c>
      <c r="W11" s="29">
        <v>10.199999999999999</v>
      </c>
      <c r="X11" s="29">
        <v>0</v>
      </c>
      <c r="Y11" s="29">
        <v>466.14</v>
      </c>
      <c r="Z11" s="8">
        <f t="shared" ref="Z11:Z47" si="6">R11-V11-W11</f>
        <v>466.14000000000004</v>
      </c>
      <c r="AA11" s="9">
        <f t="shared" ref="AA11:AA12" si="7">S11+T11+U11</f>
        <v>0</v>
      </c>
      <c r="AB11" s="5">
        <v>46091</v>
      </c>
      <c r="AC11" s="5" t="s">
        <v>123</v>
      </c>
      <c r="AD11" s="17">
        <f t="shared" ref="AD11:AD47" si="8">R11-S11-T11-U11-V11-W11-X11-Y11</f>
        <v>0</v>
      </c>
    </row>
    <row r="12" spans="1:30" s="12" customFormat="1" x14ac:dyDescent="0.25">
      <c r="A12" s="27">
        <v>46086</v>
      </c>
      <c r="B12" s="27">
        <v>46086</v>
      </c>
      <c r="C12" s="28">
        <v>5204</v>
      </c>
      <c r="D12" s="36">
        <v>47996</v>
      </c>
      <c r="E12" s="28" t="s">
        <v>36</v>
      </c>
      <c r="F12" s="28" t="s">
        <v>72</v>
      </c>
      <c r="G12" s="7" t="s">
        <v>80</v>
      </c>
      <c r="H12" s="36" t="s">
        <v>89</v>
      </c>
      <c r="I12" s="15"/>
      <c r="J12" s="15"/>
      <c r="K12" s="29">
        <v>13804</v>
      </c>
      <c r="L12" s="8"/>
      <c r="M12" s="6"/>
      <c r="N12" s="11"/>
      <c r="O12" s="5"/>
      <c r="P12" s="5"/>
      <c r="Q12" s="5"/>
      <c r="R12" s="29">
        <v>13804</v>
      </c>
      <c r="S12" s="29">
        <v>0</v>
      </c>
      <c r="T12" s="29">
        <v>0</v>
      </c>
      <c r="U12" s="29">
        <v>0</v>
      </c>
      <c r="V12" s="29">
        <v>0</v>
      </c>
      <c r="W12" s="29">
        <v>369.95</v>
      </c>
      <c r="X12" s="29">
        <v>0</v>
      </c>
      <c r="Y12" s="29">
        <v>13434.05</v>
      </c>
      <c r="Z12" s="8">
        <f t="shared" si="6"/>
        <v>13434.05</v>
      </c>
      <c r="AA12" s="9">
        <f t="shared" si="7"/>
        <v>0</v>
      </c>
      <c r="AB12" s="5">
        <v>46091</v>
      </c>
      <c r="AC12" s="5" t="s">
        <v>126</v>
      </c>
      <c r="AD12" s="17">
        <f t="shared" si="8"/>
        <v>0</v>
      </c>
    </row>
    <row r="13" spans="1:30" s="12" customFormat="1" x14ac:dyDescent="0.25">
      <c r="A13" s="27">
        <v>46086</v>
      </c>
      <c r="B13" s="27">
        <v>46086</v>
      </c>
      <c r="C13" s="28">
        <v>7714</v>
      </c>
      <c r="D13" s="36">
        <v>48004</v>
      </c>
      <c r="E13" s="28" t="s">
        <v>37</v>
      </c>
      <c r="F13" s="28" t="s">
        <v>73</v>
      </c>
      <c r="G13" s="7" t="s">
        <v>80</v>
      </c>
      <c r="H13" s="36" t="s">
        <v>90</v>
      </c>
      <c r="I13" s="15"/>
      <c r="J13" s="15"/>
      <c r="K13" s="29">
        <v>12682</v>
      </c>
      <c r="L13" s="8"/>
      <c r="M13" s="6"/>
      <c r="N13" s="11"/>
      <c r="O13" s="5"/>
      <c r="P13" s="5"/>
      <c r="Q13" s="5"/>
      <c r="R13" s="29">
        <v>12682</v>
      </c>
      <c r="S13" s="29">
        <v>0</v>
      </c>
      <c r="T13" s="29">
        <v>0</v>
      </c>
      <c r="U13" s="29">
        <v>0</v>
      </c>
      <c r="V13" s="29">
        <v>0</v>
      </c>
      <c r="W13" s="29">
        <v>254.91</v>
      </c>
      <c r="X13" s="29">
        <v>0</v>
      </c>
      <c r="Y13" s="29">
        <v>12427.09</v>
      </c>
      <c r="Z13" s="8">
        <f t="shared" ref="Z13" si="9">R13-V13-W13</f>
        <v>12427.09</v>
      </c>
      <c r="AA13" s="9">
        <f>S13+T13+U13</f>
        <v>0</v>
      </c>
      <c r="AB13" s="5">
        <v>46091</v>
      </c>
      <c r="AC13" s="5" t="s">
        <v>123</v>
      </c>
      <c r="AD13" s="17">
        <f t="shared" ref="AD13" si="10">R13-S13-T13-U13-V13-W13-X13-Y13</f>
        <v>0</v>
      </c>
    </row>
    <row r="14" spans="1:30" s="12" customFormat="1" x14ac:dyDescent="0.25">
      <c r="A14" s="27">
        <v>46086</v>
      </c>
      <c r="B14" s="27">
        <v>46086</v>
      </c>
      <c r="C14" s="28">
        <v>8511</v>
      </c>
      <c r="D14" s="36">
        <v>48029</v>
      </c>
      <c r="E14" s="28" t="s">
        <v>38</v>
      </c>
      <c r="F14" s="28" t="s">
        <v>75</v>
      </c>
      <c r="G14" s="7" t="s">
        <v>80</v>
      </c>
      <c r="H14" s="36" t="s">
        <v>91</v>
      </c>
      <c r="I14" s="15"/>
      <c r="J14" s="15"/>
      <c r="K14" s="29">
        <v>3468</v>
      </c>
      <c r="L14" s="8"/>
      <c r="M14" s="6"/>
      <c r="N14" s="11"/>
      <c r="O14" s="5"/>
      <c r="P14" s="5"/>
      <c r="Q14" s="5"/>
      <c r="R14" s="29">
        <v>3468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3468</v>
      </c>
      <c r="Z14" s="8">
        <f t="shared" si="6"/>
        <v>3468</v>
      </c>
      <c r="AA14" s="9">
        <f>S14+T14+U14</f>
        <v>0</v>
      </c>
      <c r="AB14" s="5">
        <v>46091</v>
      </c>
      <c r="AC14" s="5" t="s">
        <v>126</v>
      </c>
      <c r="AD14" s="17">
        <f t="shared" si="8"/>
        <v>0</v>
      </c>
    </row>
    <row r="15" spans="1:30" s="12" customFormat="1" x14ac:dyDescent="0.25">
      <c r="A15" s="27">
        <v>46086</v>
      </c>
      <c r="B15" s="27">
        <v>46086</v>
      </c>
      <c r="C15" s="28">
        <v>7004</v>
      </c>
      <c r="D15" s="36">
        <v>47997</v>
      </c>
      <c r="E15" s="28" t="s">
        <v>39</v>
      </c>
      <c r="F15" s="28" t="s">
        <v>76</v>
      </c>
      <c r="G15" s="7" t="s">
        <v>80</v>
      </c>
      <c r="H15" s="36" t="s">
        <v>92</v>
      </c>
      <c r="I15" s="15"/>
      <c r="J15" s="15"/>
      <c r="K15" s="29">
        <v>8092</v>
      </c>
      <c r="L15" s="8"/>
      <c r="M15" s="6"/>
      <c r="N15" s="11"/>
      <c r="O15" s="5"/>
      <c r="P15" s="5"/>
      <c r="Q15" s="5"/>
      <c r="R15" s="29">
        <v>8092</v>
      </c>
      <c r="S15" s="29">
        <v>0</v>
      </c>
      <c r="T15" s="29">
        <v>0</v>
      </c>
      <c r="U15" s="29">
        <v>0</v>
      </c>
      <c r="V15" s="29">
        <v>0</v>
      </c>
      <c r="W15" s="29">
        <v>175.6</v>
      </c>
      <c r="X15" s="29">
        <v>0</v>
      </c>
      <c r="Y15" s="29">
        <v>7916.4</v>
      </c>
      <c r="Z15" s="8">
        <f t="shared" si="6"/>
        <v>7916.4</v>
      </c>
      <c r="AA15" s="9">
        <f>S15+T15+U15</f>
        <v>0</v>
      </c>
      <c r="AB15" s="5">
        <v>46091</v>
      </c>
      <c r="AC15" s="5" t="s">
        <v>125</v>
      </c>
      <c r="AD15" s="17">
        <f t="shared" si="8"/>
        <v>0</v>
      </c>
    </row>
    <row r="16" spans="1:30" s="12" customFormat="1" x14ac:dyDescent="0.25">
      <c r="A16" s="27">
        <v>46086</v>
      </c>
      <c r="B16" s="27">
        <v>46086</v>
      </c>
      <c r="C16" s="28">
        <v>9782</v>
      </c>
      <c r="D16" s="36">
        <v>47987</v>
      </c>
      <c r="E16" s="28" t="s">
        <v>40</v>
      </c>
      <c r="F16" s="28" t="s">
        <v>73</v>
      </c>
      <c r="G16" s="7" t="s">
        <v>80</v>
      </c>
      <c r="H16" s="36" t="s">
        <v>93</v>
      </c>
      <c r="I16" s="15"/>
      <c r="J16" s="15"/>
      <c r="K16" s="29">
        <v>7514</v>
      </c>
      <c r="L16" s="8"/>
      <c r="M16" s="6"/>
      <c r="N16" s="11"/>
      <c r="O16" s="5"/>
      <c r="P16" s="5"/>
      <c r="Q16" s="5"/>
      <c r="R16" s="29">
        <v>7514</v>
      </c>
      <c r="S16" s="29">
        <v>0</v>
      </c>
      <c r="T16" s="29">
        <v>0</v>
      </c>
      <c r="U16" s="29">
        <v>0</v>
      </c>
      <c r="V16" s="29">
        <v>0</v>
      </c>
      <c r="W16" s="29">
        <v>151.03</v>
      </c>
      <c r="X16" s="29">
        <v>0</v>
      </c>
      <c r="Y16" s="29">
        <v>7362.97</v>
      </c>
      <c r="Z16" s="8">
        <f t="shared" si="6"/>
        <v>7362.97</v>
      </c>
      <c r="AA16" s="9">
        <f>S16+T16+U16</f>
        <v>0</v>
      </c>
      <c r="AB16" s="5">
        <v>46091</v>
      </c>
      <c r="AC16" s="5" t="s">
        <v>126</v>
      </c>
      <c r="AD16" s="17">
        <f t="shared" si="8"/>
        <v>0</v>
      </c>
    </row>
    <row r="17" spans="1:30" s="12" customFormat="1" x14ac:dyDescent="0.25">
      <c r="A17" s="27">
        <v>46086</v>
      </c>
      <c r="B17" s="27">
        <v>46086</v>
      </c>
      <c r="C17" s="28">
        <v>15924</v>
      </c>
      <c r="D17" s="36">
        <v>47988</v>
      </c>
      <c r="E17" s="28" t="s">
        <v>41</v>
      </c>
      <c r="F17" s="28" t="s">
        <v>79</v>
      </c>
      <c r="G17" s="7" t="s">
        <v>80</v>
      </c>
      <c r="H17" s="36" t="s">
        <v>131</v>
      </c>
      <c r="I17" s="15"/>
      <c r="J17" s="15"/>
      <c r="K17" s="29">
        <v>8670</v>
      </c>
      <c r="L17" s="8"/>
      <c r="M17" s="6"/>
      <c r="N17" s="11"/>
      <c r="O17" s="5"/>
      <c r="P17" s="5"/>
      <c r="Q17" s="5"/>
      <c r="R17" s="29">
        <v>8670</v>
      </c>
      <c r="S17" s="29">
        <v>0</v>
      </c>
      <c r="T17" s="29">
        <v>0</v>
      </c>
      <c r="U17" s="29">
        <v>0</v>
      </c>
      <c r="V17" s="29">
        <v>0</v>
      </c>
      <c r="W17" s="29">
        <v>174.27</v>
      </c>
      <c r="X17" s="29">
        <v>0</v>
      </c>
      <c r="Y17" s="29">
        <v>8495.73</v>
      </c>
      <c r="Z17" s="8">
        <f t="shared" si="6"/>
        <v>8495.73</v>
      </c>
      <c r="AA17" s="9">
        <f t="shared" ref="AA17:AA18" si="11">S17+T17+U17</f>
        <v>0</v>
      </c>
      <c r="AB17" s="5">
        <v>46091</v>
      </c>
      <c r="AC17" s="5" t="s">
        <v>126</v>
      </c>
      <c r="AD17" s="17">
        <f t="shared" si="8"/>
        <v>0</v>
      </c>
    </row>
    <row r="18" spans="1:30" s="12" customFormat="1" x14ac:dyDescent="0.25">
      <c r="A18" s="27">
        <v>46086</v>
      </c>
      <c r="B18" s="27">
        <v>46086</v>
      </c>
      <c r="C18" s="28">
        <v>7746</v>
      </c>
      <c r="D18" s="36">
        <v>48005</v>
      </c>
      <c r="E18" s="28" t="s">
        <v>42</v>
      </c>
      <c r="F18" s="28" t="s">
        <v>73</v>
      </c>
      <c r="G18" s="7" t="s">
        <v>80</v>
      </c>
      <c r="H18" s="36" t="s">
        <v>94</v>
      </c>
      <c r="I18" s="15"/>
      <c r="J18" s="15"/>
      <c r="K18" s="29">
        <v>3706</v>
      </c>
      <c r="L18" s="8"/>
      <c r="M18" s="6"/>
      <c r="N18" s="11"/>
      <c r="O18" s="5"/>
      <c r="P18" s="5"/>
      <c r="Q18" s="5"/>
      <c r="R18" s="29">
        <v>3706</v>
      </c>
      <c r="S18" s="29">
        <v>0</v>
      </c>
      <c r="T18" s="29">
        <v>0</v>
      </c>
      <c r="U18" s="29">
        <v>0</v>
      </c>
      <c r="V18" s="29">
        <v>0</v>
      </c>
      <c r="W18" s="29">
        <v>74.489999999999995</v>
      </c>
      <c r="X18" s="29">
        <v>0</v>
      </c>
      <c r="Y18" s="29">
        <v>3631.51</v>
      </c>
      <c r="Z18" s="8">
        <f t="shared" si="6"/>
        <v>3631.51</v>
      </c>
      <c r="AA18" s="9">
        <f t="shared" si="11"/>
        <v>0</v>
      </c>
      <c r="AB18" s="5">
        <v>46091</v>
      </c>
      <c r="AC18" s="5" t="s">
        <v>127</v>
      </c>
      <c r="AD18" s="17">
        <f t="shared" si="8"/>
        <v>0</v>
      </c>
    </row>
    <row r="19" spans="1:30" s="12" customFormat="1" x14ac:dyDescent="0.25">
      <c r="A19" s="27">
        <v>46086</v>
      </c>
      <c r="B19" s="27">
        <v>46086</v>
      </c>
      <c r="C19" s="28">
        <v>9295</v>
      </c>
      <c r="D19" s="36">
        <v>48012</v>
      </c>
      <c r="E19" s="28" t="s">
        <v>43</v>
      </c>
      <c r="F19" s="28" t="s">
        <v>75</v>
      </c>
      <c r="G19" s="7" t="s">
        <v>80</v>
      </c>
      <c r="H19" s="36" t="s">
        <v>95</v>
      </c>
      <c r="I19" s="15"/>
      <c r="J19" s="15"/>
      <c r="K19" s="29">
        <v>5780</v>
      </c>
      <c r="L19" s="8"/>
      <c r="M19" s="6"/>
      <c r="N19" s="11"/>
      <c r="O19" s="5"/>
      <c r="P19" s="5"/>
      <c r="Q19" s="5"/>
      <c r="R19" s="29">
        <v>5780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5780</v>
      </c>
      <c r="Z19" s="8">
        <f t="shared" si="6"/>
        <v>5780</v>
      </c>
      <c r="AA19" s="9">
        <f>S19+T19+U19</f>
        <v>0</v>
      </c>
      <c r="AB19" s="5">
        <v>46091</v>
      </c>
      <c r="AC19" s="5" t="s">
        <v>127</v>
      </c>
      <c r="AD19" s="17">
        <f t="shared" si="8"/>
        <v>0</v>
      </c>
    </row>
    <row r="20" spans="1:30" s="12" customFormat="1" x14ac:dyDescent="0.25">
      <c r="A20" s="27">
        <v>46086</v>
      </c>
      <c r="B20" s="27">
        <v>46086</v>
      </c>
      <c r="C20" s="28">
        <v>15698</v>
      </c>
      <c r="D20" s="36">
        <v>48013</v>
      </c>
      <c r="E20" s="28" t="s">
        <v>44</v>
      </c>
      <c r="F20" s="28" t="s">
        <v>74</v>
      </c>
      <c r="G20" s="7" t="s">
        <v>81</v>
      </c>
      <c r="H20" s="36" t="s">
        <v>96</v>
      </c>
      <c r="I20" s="15"/>
      <c r="J20" s="15"/>
      <c r="K20" s="29">
        <v>6834</v>
      </c>
      <c r="L20" s="8"/>
      <c r="M20" s="6"/>
      <c r="N20" s="11"/>
      <c r="O20" s="5"/>
      <c r="P20" s="5"/>
      <c r="Q20" s="5"/>
      <c r="R20" s="29">
        <v>6834</v>
      </c>
      <c r="S20" s="29">
        <v>0</v>
      </c>
      <c r="T20" s="29">
        <v>0</v>
      </c>
      <c r="U20" s="29">
        <v>0</v>
      </c>
      <c r="V20" s="29">
        <v>451.04</v>
      </c>
      <c r="W20" s="29">
        <v>136.68</v>
      </c>
      <c r="X20" s="29">
        <v>810.38</v>
      </c>
      <c r="Y20" s="29">
        <v>5435.9</v>
      </c>
      <c r="Z20" s="8">
        <f t="shared" si="6"/>
        <v>6246.28</v>
      </c>
      <c r="AA20" s="9">
        <f t="shared" ref="AA20:AA21" si="12">S20+T20+U20</f>
        <v>0</v>
      </c>
      <c r="AB20" s="5">
        <v>46091</v>
      </c>
      <c r="AC20" s="5" t="s">
        <v>125</v>
      </c>
      <c r="AD20" s="17">
        <f t="shared" si="8"/>
        <v>0</v>
      </c>
    </row>
    <row r="21" spans="1:30" s="12" customFormat="1" x14ac:dyDescent="0.25">
      <c r="A21" s="27">
        <v>46086</v>
      </c>
      <c r="B21" s="27">
        <v>46086</v>
      </c>
      <c r="C21" s="28">
        <v>7576</v>
      </c>
      <c r="D21" s="36">
        <v>48006</v>
      </c>
      <c r="E21" s="28" t="s">
        <v>45</v>
      </c>
      <c r="F21" s="28" t="s">
        <v>72</v>
      </c>
      <c r="G21" s="7" t="s">
        <v>80</v>
      </c>
      <c r="H21" s="36" t="s">
        <v>97</v>
      </c>
      <c r="I21" s="15"/>
      <c r="J21" s="15"/>
      <c r="K21" s="29">
        <v>7106</v>
      </c>
      <c r="L21" s="8"/>
      <c r="M21" s="6"/>
      <c r="N21" s="11"/>
      <c r="O21" s="5"/>
      <c r="P21" s="5"/>
      <c r="Q21" s="5"/>
      <c r="R21" s="29">
        <v>7106</v>
      </c>
      <c r="S21" s="29">
        <v>0</v>
      </c>
      <c r="T21" s="29">
        <v>0</v>
      </c>
      <c r="U21" s="29">
        <v>0</v>
      </c>
      <c r="V21" s="29">
        <v>0</v>
      </c>
      <c r="W21" s="29">
        <v>154.19999999999999</v>
      </c>
      <c r="X21" s="29">
        <v>0</v>
      </c>
      <c r="Y21" s="29">
        <v>6951.8</v>
      </c>
      <c r="Z21" s="8">
        <f t="shared" si="6"/>
        <v>6951.8</v>
      </c>
      <c r="AA21" s="9">
        <f t="shared" si="12"/>
        <v>0</v>
      </c>
      <c r="AB21" s="5">
        <v>46091</v>
      </c>
      <c r="AC21" s="5" t="s">
        <v>127</v>
      </c>
      <c r="AD21" s="17">
        <f t="shared" si="8"/>
        <v>0</v>
      </c>
    </row>
    <row r="22" spans="1:30" s="12" customFormat="1" x14ac:dyDescent="0.25">
      <c r="A22" s="27">
        <v>46086</v>
      </c>
      <c r="B22" s="27">
        <v>46086</v>
      </c>
      <c r="C22" s="28">
        <v>8834</v>
      </c>
      <c r="D22" s="36">
        <v>48014</v>
      </c>
      <c r="E22" s="28" t="s">
        <v>46</v>
      </c>
      <c r="F22" s="28" t="s">
        <v>74</v>
      </c>
      <c r="G22" s="7" t="s">
        <v>81</v>
      </c>
      <c r="H22" s="36" t="s">
        <v>98</v>
      </c>
      <c r="I22" s="15"/>
      <c r="J22" s="15"/>
      <c r="K22" s="29">
        <v>3196</v>
      </c>
      <c r="L22" s="8"/>
      <c r="M22" s="6"/>
      <c r="N22" s="11"/>
      <c r="O22" s="5"/>
      <c r="P22" s="5"/>
      <c r="Q22" s="5"/>
      <c r="R22" s="29">
        <v>3196</v>
      </c>
      <c r="S22" s="29">
        <v>0</v>
      </c>
      <c r="T22" s="29">
        <v>0</v>
      </c>
      <c r="U22" s="29">
        <v>0</v>
      </c>
      <c r="V22" s="29">
        <v>210.94</v>
      </c>
      <c r="W22" s="29">
        <v>63.92</v>
      </c>
      <c r="X22" s="29">
        <v>0</v>
      </c>
      <c r="Y22" s="29">
        <v>2921.14</v>
      </c>
      <c r="Z22" s="8">
        <f t="shared" si="6"/>
        <v>2921.14</v>
      </c>
      <c r="AA22" s="9">
        <f>S22+T22+U22</f>
        <v>0</v>
      </c>
      <c r="AB22" s="5">
        <v>46091</v>
      </c>
      <c r="AC22" s="5" t="s">
        <v>125</v>
      </c>
      <c r="AD22" s="17">
        <f t="shared" si="8"/>
        <v>0</v>
      </c>
    </row>
    <row r="23" spans="1:30" s="12" customFormat="1" x14ac:dyDescent="0.25">
      <c r="A23" s="27">
        <v>46086</v>
      </c>
      <c r="B23" s="27">
        <v>46086</v>
      </c>
      <c r="C23" s="28">
        <v>8047</v>
      </c>
      <c r="D23" s="36">
        <v>47989</v>
      </c>
      <c r="E23" s="28" t="s">
        <v>47</v>
      </c>
      <c r="F23" s="28" t="s">
        <v>72</v>
      </c>
      <c r="G23" s="7" t="s">
        <v>80</v>
      </c>
      <c r="H23" s="36" t="s">
        <v>99</v>
      </c>
      <c r="I23" s="15"/>
      <c r="J23" s="15"/>
      <c r="K23" s="29">
        <v>4318</v>
      </c>
      <c r="L23" s="8"/>
      <c r="M23" s="6"/>
      <c r="N23" s="11"/>
      <c r="O23" s="5"/>
      <c r="P23" s="5"/>
      <c r="Q23" s="5"/>
      <c r="R23" s="29">
        <v>4318</v>
      </c>
      <c r="S23" s="29">
        <v>0</v>
      </c>
      <c r="T23" s="29">
        <v>0</v>
      </c>
      <c r="U23" s="29">
        <v>0</v>
      </c>
      <c r="V23" s="29">
        <v>0</v>
      </c>
      <c r="W23" s="29">
        <v>172.29</v>
      </c>
      <c r="X23" s="29">
        <v>0</v>
      </c>
      <c r="Y23" s="29">
        <v>4145.71</v>
      </c>
      <c r="Z23" s="8">
        <f t="shared" si="6"/>
        <v>4145.71</v>
      </c>
      <c r="AA23" s="9">
        <f t="shared" ref="AA23:AA47" si="13">S23+T23+U23</f>
        <v>0</v>
      </c>
      <c r="AB23" s="5">
        <v>46091</v>
      </c>
      <c r="AC23" s="5" t="s">
        <v>128</v>
      </c>
      <c r="AD23" s="17">
        <f t="shared" si="8"/>
        <v>0</v>
      </c>
    </row>
    <row r="24" spans="1:30" s="12" customFormat="1" x14ac:dyDescent="0.25">
      <c r="A24" s="27">
        <v>46086</v>
      </c>
      <c r="B24" s="27">
        <v>46086</v>
      </c>
      <c r="C24" s="28">
        <v>14712</v>
      </c>
      <c r="D24" s="36">
        <v>48007</v>
      </c>
      <c r="E24" s="28" t="s">
        <v>48</v>
      </c>
      <c r="F24" s="28" t="s">
        <v>76</v>
      </c>
      <c r="G24" s="7" t="s">
        <v>80</v>
      </c>
      <c r="H24" s="36" t="s">
        <v>100</v>
      </c>
      <c r="I24" s="15"/>
      <c r="J24" s="15"/>
      <c r="K24" s="29">
        <v>14178</v>
      </c>
      <c r="L24" s="8"/>
      <c r="M24" s="6"/>
      <c r="N24" s="11"/>
      <c r="O24" s="5"/>
      <c r="P24" s="5"/>
      <c r="Q24" s="5"/>
      <c r="R24" s="29">
        <v>14178</v>
      </c>
      <c r="S24" s="29">
        <v>0</v>
      </c>
      <c r="T24" s="29">
        <v>0</v>
      </c>
      <c r="U24" s="29">
        <v>0</v>
      </c>
      <c r="V24" s="29">
        <v>0</v>
      </c>
      <c r="W24" s="29">
        <v>378.55</v>
      </c>
      <c r="X24" s="29">
        <v>0</v>
      </c>
      <c r="Y24" s="29">
        <v>13799.45</v>
      </c>
      <c r="Z24" s="8">
        <f t="shared" si="6"/>
        <v>13799.45</v>
      </c>
      <c r="AA24" s="9">
        <f t="shared" si="13"/>
        <v>0</v>
      </c>
      <c r="AB24" s="5">
        <v>46091</v>
      </c>
      <c r="AC24" s="5" t="s">
        <v>125</v>
      </c>
      <c r="AD24" s="17">
        <f t="shared" si="8"/>
        <v>0</v>
      </c>
    </row>
    <row r="25" spans="1:30" s="12" customFormat="1" x14ac:dyDescent="0.25">
      <c r="A25" s="27">
        <v>46086</v>
      </c>
      <c r="B25" s="27">
        <v>46086</v>
      </c>
      <c r="C25" s="28">
        <v>9817</v>
      </c>
      <c r="D25" s="36">
        <v>48017</v>
      </c>
      <c r="E25" s="28" t="s">
        <v>49</v>
      </c>
      <c r="F25" s="28" t="s">
        <v>73</v>
      </c>
      <c r="G25" s="7" t="s">
        <v>80</v>
      </c>
      <c r="H25" s="36" t="s">
        <v>101</v>
      </c>
      <c r="I25" s="15"/>
      <c r="J25" s="15"/>
      <c r="K25" s="29">
        <v>5100</v>
      </c>
      <c r="L25" s="8"/>
      <c r="M25" s="6"/>
      <c r="N25" s="11"/>
      <c r="O25" s="5"/>
      <c r="P25" s="5"/>
      <c r="Q25" s="5"/>
      <c r="R25" s="29">
        <v>5100</v>
      </c>
      <c r="S25" s="29">
        <v>0</v>
      </c>
      <c r="T25" s="29">
        <v>0</v>
      </c>
      <c r="U25" s="29">
        <v>0</v>
      </c>
      <c r="V25" s="29">
        <v>0</v>
      </c>
      <c r="W25" s="29">
        <v>110.67</v>
      </c>
      <c r="X25" s="29">
        <v>0</v>
      </c>
      <c r="Y25" s="29">
        <v>4989.33</v>
      </c>
      <c r="Z25" s="8">
        <f t="shared" si="6"/>
        <v>4989.33</v>
      </c>
      <c r="AA25" s="9">
        <f t="shared" si="13"/>
        <v>0</v>
      </c>
      <c r="AB25" s="5">
        <v>46091</v>
      </c>
      <c r="AC25" s="5" t="s">
        <v>127</v>
      </c>
      <c r="AD25" s="17">
        <f t="shared" si="8"/>
        <v>0</v>
      </c>
    </row>
    <row r="26" spans="1:30" s="12" customFormat="1" x14ac:dyDescent="0.25">
      <c r="A26" s="27">
        <v>46086</v>
      </c>
      <c r="B26" s="27">
        <v>46086</v>
      </c>
      <c r="C26" s="28">
        <v>5064</v>
      </c>
      <c r="D26" s="36">
        <v>48008</v>
      </c>
      <c r="E26" s="28" t="s">
        <v>50</v>
      </c>
      <c r="F26" s="28" t="s">
        <v>77</v>
      </c>
      <c r="G26" s="7" t="s">
        <v>80</v>
      </c>
      <c r="H26" s="36" t="s">
        <v>102</v>
      </c>
      <c r="I26" s="15"/>
      <c r="J26" s="15"/>
      <c r="K26" s="29">
        <v>4930</v>
      </c>
      <c r="L26" s="8"/>
      <c r="M26" s="6"/>
      <c r="N26" s="11"/>
      <c r="O26" s="5"/>
      <c r="P26" s="5"/>
      <c r="Q26" s="5"/>
      <c r="R26" s="29">
        <v>4930</v>
      </c>
      <c r="S26" s="29">
        <v>32.049999999999997</v>
      </c>
      <c r="T26" s="29">
        <v>147.9</v>
      </c>
      <c r="U26" s="29">
        <v>49.3</v>
      </c>
      <c r="V26" s="29">
        <v>0</v>
      </c>
      <c r="W26" s="29">
        <v>147.9</v>
      </c>
      <c r="X26" s="29">
        <v>73.95</v>
      </c>
      <c r="Y26" s="29">
        <v>4478.8999999999996</v>
      </c>
      <c r="Z26" s="8">
        <f t="shared" si="6"/>
        <v>4782.1000000000004</v>
      </c>
      <c r="AA26" s="9">
        <f t="shared" si="13"/>
        <v>229.25</v>
      </c>
      <c r="AB26" s="5">
        <v>46091</v>
      </c>
      <c r="AC26" s="5" t="s">
        <v>128</v>
      </c>
      <c r="AD26" s="17">
        <f t="shared" si="8"/>
        <v>0</v>
      </c>
    </row>
    <row r="27" spans="1:30" s="12" customFormat="1" x14ac:dyDescent="0.25">
      <c r="A27" s="27">
        <v>46086</v>
      </c>
      <c r="B27" s="27">
        <v>46086</v>
      </c>
      <c r="C27" s="28">
        <v>8035</v>
      </c>
      <c r="D27" s="36">
        <v>47990</v>
      </c>
      <c r="E27" s="28" t="s">
        <v>51</v>
      </c>
      <c r="F27" s="28" t="s">
        <v>76</v>
      </c>
      <c r="G27" s="7" t="s">
        <v>80</v>
      </c>
      <c r="H27" s="36" t="s">
        <v>103</v>
      </c>
      <c r="I27" s="15"/>
      <c r="J27" s="15"/>
      <c r="K27" s="29">
        <v>8228</v>
      </c>
      <c r="L27" s="8"/>
      <c r="M27" s="6"/>
      <c r="N27" s="11"/>
      <c r="O27" s="5"/>
      <c r="P27" s="5"/>
      <c r="Q27" s="5"/>
      <c r="R27" s="29">
        <v>8228</v>
      </c>
      <c r="S27" s="29">
        <v>0</v>
      </c>
      <c r="T27" s="29">
        <v>0</v>
      </c>
      <c r="U27" s="29">
        <v>0</v>
      </c>
      <c r="V27" s="29">
        <v>0</v>
      </c>
      <c r="W27" s="29">
        <v>178.55</v>
      </c>
      <c r="X27" s="29">
        <v>0</v>
      </c>
      <c r="Y27" s="29">
        <v>8049.45</v>
      </c>
      <c r="Z27" s="8">
        <f t="shared" si="6"/>
        <v>8049.45</v>
      </c>
      <c r="AA27" s="9">
        <f t="shared" si="13"/>
        <v>0</v>
      </c>
      <c r="AB27" s="5">
        <v>46091</v>
      </c>
      <c r="AC27" s="5" t="s">
        <v>125</v>
      </c>
      <c r="AD27" s="17">
        <f t="shared" si="8"/>
        <v>0</v>
      </c>
    </row>
    <row r="28" spans="1:30" s="12" customFormat="1" x14ac:dyDescent="0.25">
      <c r="A28" s="27">
        <v>46086</v>
      </c>
      <c r="B28" s="27">
        <v>46086</v>
      </c>
      <c r="C28" s="28">
        <v>9947</v>
      </c>
      <c r="D28" s="36">
        <v>47998</v>
      </c>
      <c r="E28" s="28" t="s">
        <v>52</v>
      </c>
      <c r="F28" s="28" t="s">
        <v>71</v>
      </c>
      <c r="G28" s="7" t="s">
        <v>81</v>
      </c>
      <c r="H28" s="36" t="s">
        <v>104</v>
      </c>
      <c r="I28" s="15"/>
      <c r="J28" s="15"/>
      <c r="K28" s="29">
        <v>3910</v>
      </c>
      <c r="L28" s="8"/>
      <c r="M28" s="6"/>
      <c r="N28" s="11"/>
      <c r="O28" s="5"/>
      <c r="P28" s="5"/>
      <c r="Q28" s="5"/>
      <c r="R28" s="29">
        <v>3910</v>
      </c>
      <c r="S28" s="29">
        <v>0</v>
      </c>
      <c r="T28" s="29">
        <v>0</v>
      </c>
      <c r="U28" s="29">
        <v>0</v>
      </c>
      <c r="V28" s="29">
        <v>258.06</v>
      </c>
      <c r="W28" s="29">
        <v>78.2</v>
      </c>
      <c r="X28" s="29">
        <v>0</v>
      </c>
      <c r="Y28" s="29">
        <v>3573.74</v>
      </c>
      <c r="Z28" s="8">
        <f t="shared" si="6"/>
        <v>3573.7400000000002</v>
      </c>
      <c r="AA28" s="9">
        <f t="shared" si="13"/>
        <v>0</v>
      </c>
      <c r="AB28" s="5">
        <v>46091</v>
      </c>
      <c r="AC28" s="5" t="s">
        <v>123</v>
      </c>
      <c r="AD28" s="17">
        <f t="shared" si="8"/>
        <v>0</v>
      </c>
    </row>
    <row r="29" spans="1:30" s="12" customFormat="1" x14ac:dyDescent="0.25">
      <c r="A29" s="27">
        <v>46086</v>
      </c>
      <c r="B29" s="27">
        <v>46086</v>
      </c>
      <c r="C29" s="28">
        <v>7571</v>
      </c>
      <c r="D29" s="36">
        <v>47999</v>
      </c>
      <c r="E29" s="28" t="s">
        <v>53</v>
      </c>
      <c r="F29" s="28" t="s">
        <v>73</v>
      </c>
      <c r="G29" s="7" t="s">
        <v>80</v>
      </c>
      <c r="H29" s="36" t="s">
        <v>105</v>
      </c>
      <c r="I29" s="15"/>
      <c r="J29" s="15"/>
      <c r="K29" s="29">
        <v>7616</v>
      </c>
      <c r="L29" s="8"/>
      <c r="M29" s="6"/>
      <c r="N29" s="11"/>
      <c r="O29" s="5"/>
      <c r="P29" s="5"/>
      <c r="Q29" s="5"/>
      <c r="R29" s="29">
        <v>7616</v>
      </c>
      <c r="S29" s="29">
        <v>0</v>
      </c>
      <c r="T29" s="29">
        <v>0</v>
      </c>
      <c r="U29" s="29">
        <v>0</v>
      </c>
      <c r="V29" s="29">
        <v>0</v>
      </c>
      <c r="W29" s="29">
        <v>153.08000000000001</v>
      </c>
      <c r="X29" s="29">
        <v>0</v>
      </c>
      <c r="Y29" s="29">
        <v>7462.92</v>
      </c>
      <c r="Z29" s="8">
        <f t="shared" si="6"/>
        <v>7462.92</v>
      </c>
      <c r="AA29" s="9">
        <f t="shared" si="13"/>
        <v>0</v>
      </c>
      <c r="AB29" s="5">
        <v>46091</v>
      </c>
      <c r="AC29" s="5" t="s">
        <v>127</v>
      </c>
      <c r="AD29" s="17">
        <f t="shared" si="8"/>
        <v>0</v>
      </c>
    </row>
    <row r="30" spans="1:30" s="12" customFormat="1" x14ac:dyDescent="0.25">
      <c r="A30" s="27">
        <v>46086</v>
      </c>
      <c r="B30" s="27">
        <v>46086</v>
      </c>
      <c r="C30" s="28">
        <v>9460</v>
      </c>
      <c r="D30" s="36">
        <v>48022</v>
      </c>
      <c r="E30" s="28" t="s">
        <v>54</v>
      </c>
      <c r="F30" s="28" t="s">
        <v>78</v>
      </c>
      <c r="G30" s="7" t="s">
        <v>80</v>
      </c>
      <c r="H30" s="36" t="s">
        <v>106</v>
      </c>
      <c r="I30" s="15"/>
      <c r="J30" s="15"/>
      <c r="K30" s="29">
        <v>3366</v>
      </c>
      <c r="L30" s="8"/>
      <c r="M30" s="6"/>
      <c r="N30" s="11"/>
      <c r="O30" s="5"/>
      <c r="P30" s="5"/>
      <c r="Q30" s="5"/>
      <c r="R30" s="29">
        <v>3366</v>
      </c>
      <c r="S30" s="29">
        <v>0</v>
      </c>
      <c r="T30" s="29">
        <v>0</v>
      </c>
      <c r="U30" s="29">
        <v>0</v>
      </c>
      <c r="V30" s="29">
        <v>0</v>
      </c>
      <c r="W30" s="29">
        <v>67.66</v>
      </c>
      <c r="X30" s="29">
        <v>0</v>
      </c>
      <c r="Y30" s="29">
        <v>3298.34</v>
      </c>
      <c r="Z30" s="8">
        <f t="shared" si="6"/>
        <v>3298.34</v>
      </c>
      <c r="AA30" s="9">
        <f t="shared" si="13"/>
        <v>0</v>
      </c>
      <c r="AB30" s="5">
        <v>46091</v>
      </c>
      <c r="AC30" s="5" t="s">
        <v>126</v>
      </c>
      <c r="AD30" s="17">
        <f t="shared" si="8"/>
        <v>0</v>
      </c>
    </row>
    <row r="31" spans="1:30" s="12" customFormat="1" x14ac:dyDescent="0.25">
      <c r="A31" s="27">
        <v>46086</v>
      </c>
      <c r="B31" s="27">
        <v>46086</v>
      </c>
      <c r="C31" s="28">
        <v>9097</v>
      </c>
      <c r="D31" s="36">
        <v>48018</v>
      </c>
      <c r="E31" s="28" t="s">
        <v>55</v>
      </c>
      <c r="F31" s="28" t="s">
        <v>71</v>
      </c>
      <c r="G31" s="7" t="s">
        <v>81</v>
      </c>
      <c r="H31" s="36" t="s">
        <v>107</v>
      </c>
      <c r="I31" s="15"/>
      <c r="J31" s="15"/>
      <c r="K31" s="29">
        <v>1428</v>
      </c>
      <c r="L31" s="8"/>
      <c r="M31" s="6"/>
      <c r="N31" s="11"/>
      <c r="O31" s="5"/>
      <c r="P31" s="5"/>
      <c r="Q31" s="5"/>
      <c r="R31" s="29">
        <v>1428</v>
      </c>
      <c r="S31" s="29">
        <v>0</v>
      </c>
      <c r="T31" s="29">
        <v>0</v>
      </c>
      <c r="U31" s="29">
        <v>0</v>
      </c>
      <c r="V31" s="29">
        <v>94.25</v>
      </c>
      <c r="W31" s="29">
        <v>28.56</v>
      </c>
      <c r="X31" s="29">
        <v>0</v>
      </c>
      <c r="Y31" s="29">
        <v>1305.19</v>
      </c>
      <c r="Z31" s="8">
        <f t="shared" si="6"/>
        <v>1305.19</v>
      </c>
      <c r="AA31" s="9">
        <f t="shared" si="13"/>
        <v>0</v>
      </c>
      <c r="AB31" s="5">
        <v>46091</v>
      </c>
      <c r="AC31" s="5" t="s">
        <v>129</v>
      </c>
      <c r="AD31" s="17">
        <f t="shared" si="8"/>
        <v>0</v>
      </c>
    </row>
    <row r="32" spans="1:30" s="12" customFormat="1" x14ac:dyDescent="0.25">
      <c r="A32" s="27">
        <v>46086</v>
      </c>
      <c r="B32" s="27">
        <v>46086</v>
      </c>
      <c r="C32" s="28">
        <v>15093</v>
      </c>
      <c r="D32" s="36">
        <v>47991</v>
      </c>
      <c r="E32" s="28" t="s">
        <v>56</v>
      </c>
      <c r="F32" s="28" t="s">
        <v>73</v>
      </c>
      <c r="G32" s="7" t="s">
        <v>80</v>
      </c>
      <c r="H32" s="36" t="s">
        <v>108</v>
      </c>
      <c r="I32" s="15"/>
      <c r="J32" s="15"/>
      <c r="K32" s="29">
        <v>10608</v>
      </c>
      <c r="L32" s="8"/>
      <c r="M32" s="6"/>
      <c r="N32" s="11"/>
      <c r="O32" s="5"/>
      <c r="P32" s="5"/>
      <c r="Q32" s="5"/>
      <c r="R32" s="29">
        <v>10608</v>
      </c>
      <c r="S32" s="29">
        <v>0</v>
      </c>
      <c r="T32" s="29">
        <v>0</v>
      </c>
      <c r="U32" s="29">
        <v>0</v>
      </c>
      <c r="V32" s="29">
        <v>0</v>
      </c>
      <c r="W32" s="29">
        <v>230.19</v>
      </c>
      <c r="X32" s="29">
        <v>0</v>
      </c>
      <c r="Y32" s="29">
        <v>10377.81</v>
      </c>
      <c r="Z32" s="8">
        <f t="shared" si="6"/>
        <v>10377.81</v>
      </c>
      <c r="AA32" s="9">
        <f t="shared" si="13"/>
        <v>0</v>
      </c>
      <c r="AB32" s="5">
        <v>46091</v>
      </c>
      <c r="AC32" s="5" t="s">
        <v>127</v>
      </c>
      <c r="AD32" s="17">
        <f t="shared" si="8"/>
        <v>0</v>
      </c>
    </row>
    <row r="33" spans="1:30" s="12" customFormat="1" x14ac:dyDescent="0.25">
      <c r="A33" s="27">
        <v>46086</v>
      </c>
      <c r="B33" s="27">
        <v>46086</v>
      </c>
      <c r="C33" s="28">
        <v>8777</v>
      </c>
      <c r="D33" s="36">
        <v>48000</v>
      </c>
      <c r="E33" s="28" t="s">
        <v>57</v>
      </c>
      <c r="F33" s="28" t="s">
        <v>73</v>
      </c>
      <c r="G33" s="7" t="s">
        <v>80</v>
      </c>
      <c r="H33" s="36" t="s">
        <v>109</v>
      </c>
      <c r="I33" s="15"/>
      <c r="J33" s="15"/>
      <c r="K33" s="29">
        <v>11288</v>
      </c>
      <c r="L33" s="8"/>
      <c r="M33" s="6"/>
      <c r="N33" s="11"/>
      <c r="O33" s="5"/>
      <c r="P33" s="5"/>
      <c r="Q33" s="5"/>
      <c r="R33" s="29">
        <v>11288</v>
      </c>
      <c r="S33" s="29">
        <v>0</v>
      </c>
      <c r="T33" s="29">
        <v>0</v>
      </c>
      <c r="U33" s="29">
        <v>0</v>
      </c>
      <c r="V33" s="29">
        <v>0</v>
      </c>
      <c r="W33" s="29">
        <v>226.89</v>
      </c>
      <c r="X33" s="29">
        <v>0</v>
      </c>
      <c r="Y33" s="29">
        <v>11061.11</v>
      </c>
      <c r="Z33" s="8">
        <f t="shared" si="6"/>
        <v>11061.11</v>
      </c>
      <c r="AA33" s="9">
        <f t="shared" si="13"/>
        <v>0</v>
      </c>
      <c r="AB33" s="5">
        <v>46091</v>
      </c>
      <c r="AC33" s="5" t="s">
        <v>127</v>
      </c>
      <c r="AD33" s="17">
        <f t="shared" si="8"/>
        <v>0</v>
      </c>
    </row>
    <row r="34" spans="1:30" s="12" customFormat="1" x14ac:dyDescent="0.25">
      <c r="A34" s="27">
        <v>46086</v>
      </c>
      <c r="B34" s="27">
        <v>46086</v>
      </c>
      <c r="C34" s="28">
        <v>7545</v>
      </c>
      <c r="D34" s="36">
        <v>48010</v>
      </c>
      <c r="E34" s="28" t="s">
        <v>58</v>
      </c>
      <c r="F34" s="28" t="s">
        <v>76</v>
      </c>
      <c r="G34" s="7" t="s">
        <v>80</v>
      </c>
      <c r="H34" s="36" t="s">
        <v>110</v>
      </c>
      <c r="I34" s="15"/>
      <c r="J34" s="15"/>
      <c r="K34" s="29">
        <v>8398</v>
      </c>
      <c r="L34" s="8"/>
      <c r="M34" s="6"/>
      <c r="N34" s="11"/>
      <c r="O34" s="5"/>
      <c r="P34" s="5"/>
      <c r="Q34" s="5"/>
      <c r="R34" s="29">
        <v>8398</v>
      </c>
      <c r="S34" s="29">
        <v>0</v>
      </c>
      <c r="T34" s="29">
        <v>0</v>
      </c>
      <c r="U34" s="29">
        <v>0</v>
      </c>
      <c r="V34" s="29">
        <v>0</v>
      </c>
      <c r="W34" s="29">
        <v>182.24</v>
      </c>
      <c r="X34" s="29">
        <v>0</v>
      </c>
      <c r="Y34" s="29">
        <v>8215.76</v>
      </c>
      <c r="Z34" s="8">
        <f t="shared" si="6"/>
        <v>8215.76</v>
      </c>
      <c r="AA34" s="9">
        <f t="shared" si="13"/>
        <v>0</v>
      </c>
      <c r="AB34" s="5">
        <v>46091</v>
      </c>
      <c r="AC34" s="5" t="s">
        <v>127</v>
      </c>
      <c r="AD34" s="17">
        <f t="shared" si="8"/>
        <v>0</v>
      </c>
    </row>
    <row r="35" spans="1:30" s="12" customFormat="1" x14ac:dyDescent="0.25">
      <c r="A35" s="27">
        <v>46086</v>
      </c>
      <c r="B35" s="27">
        <v>46086</v>
      </c>
      <c r="C35" s="28">
        <v>15977</v>
      </c>
      <c r="D35" s="36">
        <v>48019</v>
      </c>
      <c r="E35" s="28" t="s">
        <v>59</v>
      </c>
      <c r="F35" s="28" t="s">
        <v>79</v>
      </c>
      <c r="G35" s="7" t="s">
        <v>80</v>
      </c>
      <c r="H35" s="36" t="s">
        <v>132</v>
      </c>
      <c r="I35" s="15"/>
      <c r="J35" s="15"/>
      <c r="K35" s="29">
        <v>6460</v>
      </c>
      <c r="L35" s="8"/>
      <c r="M35" s="6"/>
      <c r="N35" s="11"/>
      <c r="O35" s="5"/>
      <c r="P35" s="5"/>
      <c r="Q35" s="5"/>
      <c r="R35" s="29">
        <v>6460</v>
      </c>
      <c r="S35" s="29">
        <v>0</v>
      </c>
      <c r="T35" s="29">
        <v>0</v>
      </c>
      <c r="U35" s="29">
        <v>0</v>
      </c>
      <c r="V35" s="29">
        <v>0</v>
      </c>
      <c r="W35" s="29">
        <v>140.18</v>
      </c>
      <c r="X35" s="29">
        <v>0</v>
      </c>
      <c r="Y35" s="29">
        <v>6319.82</v>
      </c>
      <c r="Z35" s="8">
        <f t="shared" si="6"/>
        <v>6319.82</v>
      </c>
      <c r="AA35" s="9">
        <f t="shared" si="13"/>
        <v>0</v>
      </c>
      <c r="AB35" s="5">
        <v>46091</v>
      </c>
      <c r="AC35" s="5" t="s">
        <v>126</v>
      </c>
      <c r="AD35" s="17">
        <f t="shared" si="8"/>
        <v>0</v>
      </c>
    </row>
    <row r="36" spans="1:30" s="12" customFormat="1" x14ac:dyDescent="0.25">
      <c r="A36" s="27">
        <v>46086</v>
      </c>
      <c r="B36" s="27">
        <v>46086</v>
      </c>
      <c r="C36" s="28">
        <v>7924</v>
      </c>
      <c r="D36" s="36">
        <v>47992</v>
      </c>
      <c r="E36" s="28" t="s">
        <v>60</v>
      </c>
      <c r="F36" s="28" t="s">
        <v>74</v>
      </c>
      <c r="G36" s="7" t="s">
        <v>81</v>
      </c>
      <c r="H36" s="36" t="s">
        <v>111</v>
      </c>
      <c r="I36" s="15"/>
      <c r="J36" s="15"/>
      <c r="K36" s="29">
        <v>8712</v>
      </c>
      <c r="L36" s="8"/>
      <c r="M36" s="6"/>
      <c r="N36" s="11"/>
      <c r="O36" s="5"/>
      <c r="P36" s="5"/>
      <c r="Q36" s="5"/>
      <c r="R36" s="29">
        <v>8712</v>
      </c>
      <c r="S36" s="29">
        <v>0</v>
      </c>
      <c r="T36" s="29">
        <v>0</v>
      </c>
      <c r="U36" s="29">
        <v>0</v>
      </c>
      <c r="V36" s="29">
        <v>574.99</v>
      </c>
      <c r="W36" s="29">
        <v>174.24</v>
      </c>
      <c r="X36" s="29">
        <v>1368.32</v>
      </c>
      <c r="Y36" s="29">
        <v>6594.45</v>
      </c>
      <c r="Z36" s="8">
        <f t="shared" si="6"/>
        <v>7962.77</v>
      </c>
      <c r="AA36" s="9">
        <f t="shared" si="13"/>
        <v>0</v>
      </c>
      <c r="AB36" s="5">
        <v>46091</v>
      </c>
      <c r="AC36" s="5" t="s">
        <v>125</v>
      </c>
      <c r="AD36" s="17">
        <f t="shared" si="8"/>
        <v>0</v>
      </c>
    </row>
    <row r="37" spans="1:30" s="12" customFormat="1" x14ac:dyDescent="0.25">
      <c r="A37" s="27">
        <v>46086</v>
      </c>
      <c r="B37" s="27">
        <v>46086</v>
      </c>
      <c r="C37" s="28">
        <v>10053</v>
      </c>
      <c r="D37" s="36">
        <v>48001</v>
      </c>
      <c r="E37" s="28" t="s">
        <v>61</v>
      </c>
      <c r="F37" s="28" t="s">
        <v>72</v>
      </c>
      <c r="G37" s="7" t="s">
        <v>80</v>
      </c>
      <c r="H37" s="36" t="s">
        <v>112</v>
      </c>
      <c r="I37" s="15"/>
      <c r="J37" s="15"/>
      <c r="K37" s="29">
        <v>10098</v>
      </c>
      <c r="L37" s="8"/>
      <c r="M37" s="6"/>
      <c r="N37" s="11"/>
      <c r="O37" s="5"/>
      <c r="P37" s="5"/>
      <c r="Q37" s="5"/>
      <c r="R37" s="29">
        <v>10098</v>
      </c>
      <c r="S37" s="29">
        <v>0</v>
      </c>
      <c r="T37" s="29">
        <v>0</v>
      </c>
      <c r="U37" s="29">
        <v>0</v>
      </c>
      <c r="V37" s="29">
        <v>0</v>
      </c>
      <c r="W37" s="29">
        <v>219.13</v>
      </c>
      <c r="X37" s="29">
        <v>0</v>
      </c>
      <c r="Y37" s="29">
        <v>9878.8700000000008</v>
      </c>
      <c r="Z37" s="8">
        <f t="shared" si="6"/>
        <v>9878.8700000000008</v>
      </c>
      <c r="AA37" s="9">
        <f t="shared" si="13"/>
        <v>0</v>
      </c>
      <c r="AB37" s="5">
        <v>46091</v>
      </c>
      <c r="AC37" s="5" t="s">
        <v>127</v>
      </c>
      <c r="AD37" s="17">
        <f t="shared" si="8"/>
        <v>0</v>
      </c>
    </row>
    <row r="38" spans="1:30" s="12" customFormat="1" x14ac:dyDescent="0.25">
      <c r="A38" s="27">
        <v>46086</v>
      </c>
      <c r="B38" s="27">
        <v>46086</v>
      </c>
      <c r="C38" s="28">
        <v>8087</v>
      </c>
      <c r="D38" s="36">
        <v>48024</v>
      </c>
      <c r="E38" s="28" t="s">
        <v>62</v>
      </c>
      <c r="F38" s="28" t="s">
        <v>73</v>
      </c>
      <c r="G38" s="7" t="s">
        <v>80</v>
      </c>
      <c r="H38" s="36" t="s">
        <v>113</v>
      </c>
      <c r="I38" s="15"/>
      <c r="J38" s="15"/>
      <c r="K38" s="29">
        <v>7378</v>
      </c>
      <c r="L38" s="8"/>
      <c r="M38" s="6"/>
      <c r="N38" s="11"/>
      <c r="O38" s="5"/>
      <c r="P38" s="5"/>
      <c r="Q38" s="5"/>
      <c r="R38" s="29">
        <v>7378</v>
      </c>
      <c r="S38" s="29">
        <v>0</v>
      </c>
      <c r="T38" s="29">
        <v>0</v>
      </c>
      <c r="U38" s="29">
        <v>0</v>
      </c>
      <c r="V38" s="29">
        <v>0</v>
      </c>
      <c r="W38" s="29">
        <v>148.30000000000001</v>
      </c>
      <c r="X38" s="29">
        <v>0</v>
      </c>
      <c r="Y38" s="29">
        <v>7229.7</v>
      </c>
      <c r="Z38" s="8">
        <f t="shared" si="6"/>
        <v>7229.7</v>
      </c>
      <c r="AA38" s="9">
        <f t="shared" si="13"/>
        <v>0</v>
      </c>
      <c r="AB38" s="5">
        <v>46091</v>
      </c>
      <c r="AC38" s="5" t="s">
        <v>123</v>
      </c>
      <c r="AD38" s="17">
        <f t="shared" si="8"/>
        <v>0</v>
      </c>
    </row>
    <row r="39" spans="1:30" s="12" customFormat="1" x14ac:dyDescent="0.25">
      <c r="A39" s="27">
        <v>46086</v>
      </c>
      <c r="B39" s="27">
        <v>46086</v>
      </c>
      <c r="C39" s="28">
        <v>7792</v>
      </c>
      <c r="D39" s="36">
        <v>48020</v>
      </c>
      <c r="E39" s="28" t="s">
        <v>63</v>
      </c>
      <c r="F39" s="28" t="s">
        <v>73</v>
      </c>
      <c r="G39" s="7" t="s">
        <v>80</v>
      </c>
      <c r="H39" s="36" t="s">
        <v>114</v>
      </c>
      <c r="I39" s="15"/>
      <c r="J39" s="15"/>
      <c r="K39" s="29">
        <v>3366</v>
      </c>
      <c r="L39" s="8"/>
      <c r="M39" s="6"/>
      <c r="N39" s="11"/>
      <c r="O39" s="5"/>
      <c r="P39" s="5"/>
      <c r="Q39" s="5"/>
      <c r="R39" s="29">
        <v>3366</v>
      </c>
      <c r="S39" s="29">
        <v>0</v>
      </c>
      <c r="T39" s="29">
        <v>0</v>
      </c>
      <c r="U39" s="29">
        <v>0</v>
      </c>
      <c r="V39" s="29">
        <v>0</v>
      </c>
      <c r="W39" s="29">
        <v>73.040000000000006</v>
      </c>
      <c r="X39" s="29">
        <v>0</v>
      </c>
      <c r="Y39" s="29">
        <v>3292.96</v>
      </c>
      <c r="Z39" s="8">
        <f t="shared" si="6"/>
        <v>3292.96</v>
      </c>
      <c r="AA39" s="9">
        <f t="shared" si="13"/>
        <v>0</v>
      </c>
      <c r="AB39" s="5">
        <v>46091</v>
      </c>
      <c r="AC39" s="5" t="s">
        <v>127</v>
      </c>
      <c r="AD39" s="17">
        <f t="shared" si="8"/>
        <v>0</v>
      </c>
    </row>
    <row r="40" spans="1:30" s="12" customFormat="1" x14ac:dyDescent="0.25">
      <c r="A40" s="27">
        <v>46086</v>
      </c>
      <c r="B40" s="27">
        <v>46086</v>
      </c>
      <c r="C40" s="28">
        <v>6980</v>
      </c>
      <c r="D40" s="36">
        <v>48011</v>
      </c>
      <c r="E40" s="28" t="s">
        <v>64</v>
      </c>
      <c r="F40" s="28" t="s">
        <v>77</v>
      </c>
      <c r="G40" s="7" t="s">
        <v>80</v>
      </c>
      <c r="H40" s="36" t="s">
        <v>115</v>
      </c>
      <c r="I40" s="15"/>
      <c r="J40" s="15"/>
      <c r="K40" s="29">
        <v>4828</v>
      </c>
      <c r="L40" s="8"/>
      <c r="M40" s="6"/>
      <c r="N40" s="11"/>
      <c r="O40" s="5"/>
      <c r="P40" s="5"/>
      <c r="Q40" s="5"/>
      <c r="R40" s="29">
        <v>4828</v>
      </c>
      <c r="S40" s="29">
        <v>31.38</v>
      </c>
      <c r="T40" s="29">
        <v>144.84</v>
      </c>
      <c r="U40" s="29">
        <v>48.28</v>
      </c>
      <c r="V40" s="29">
        <v>0</v>
      </c>
      <c r="W40" s="29">
        <v>0</v>
      </c>
      <c r="X40" s="29">
        <v>72.42</v>
      </c>
      <c r="Y40" s="29">
        <v>4531.08</v>
      </c>
      <c r="Z40" s="8">
        <f t="shared" si="6"/>
        <v>4828</v>
      </c>
      <c r="AA40" s="9">
        <f t="shared" si="13"/>
        <v>224.5</v>
      </c>
      <c r="AB40" s="5">
        <v>46091</v>
      </c>
      <c r="AC40" s="5" t="s">
        <v>126</v>
      </c>
      <c r="AD40" s="17">
        <f t="shared" si="8"/>
        <v>0</v>
      </c>
    </row>
    <row r="41" spans="1:30" s="12" customFormat="1" x14ac:dyDescent="0.25">
      <c r="A41" s="27">
        <v>46086</v>
      </c>
      <c r="B41" s="27">
        <v>46086</v>
      </c>
      <c r="C41" s="28">
        <v>8589</v>
      </c>
      <c r="D41" s="36">
        <v>47993</v>
      </c>
      <c r="E41" s="28" t="s">
        <v>65</v>
      </c>
      <c r="F41" s="28" t="s">
        <v>74</v>
      </c>
      <c r="G41" s="7" t="s">
        <v>81</v>
      </c>
      <c r="H41" s="36" t="s">
        <v>116</v>
      </c>
      <c r="I41" s="15"/>
      <c r="J41" s="15"/>
      <c r="K41" s="29">
        <v>2278</v>
      </c>
      <c r="L41" s="8"/>
      <c r="M41" s="6"/>
      <c r="N41" s="11"/>
      <c r="O41" s="5"/>
      <c r="P41" s="5"/>
      <c r="Q41" s="5"/>
      <c r="R41" s="29">
        <v>2278</v>
      </c>
      <c r="S41" s="29">
        <v>0</v>
      </c>
      <c r="T41" s="29">
        <v>0</v>
      </c>
      <c r="U41" s="29">
        <v>0</v>
      </c>
      <c r="V41" s="29">
        <v>150.35</v>
      </c>
      <c r="W41" s="29">
        <v>45.56</v>
      </c>
      <c r="X41" s="29">
        <v>0</v>
      </c>
      <c r="Y41" s="29">
        <v>2082.09</v>
      </c>
      <c r="Z41" s="8">
        <f t="shared" si="6"/>
        <v>2082.09</v>
      </c>
      <c r="AA41" s="9">
        <f t="shared" si="13"/>
        <v>0</v>
      </c>
      <c r="AB41" s="5">
        <v>46091</v>
      </c>
      <c r="AC41" s="5" t="s">
        <v>125</v>
      </c>
      <c r="AD41" s="17">
        <f t="shared" si="8"/>
        <v>0</v>
      </c>
    </row>
    <row r="42" spans="1:30" s="12" customFormat="1" x14ac:dyDescent="0.25">
      <c r="A42" s="27">
        <v>46086</v>
      </c>
      <c r="B42" s="27">
        <v>46086</v>
      </c>
      <c r="C42" s="28">
        <v>15541</v>
      </c>
      <c r="D42" s="36">
        <v>48025</v>
      </c>
      <c r="E42" s="28" t="s">
        <v>130</v>
      </c>
      <c r="F42" s="28" t="s">
        <v>74</v>
      </c>
      <c r="G42" s="7" t="s">
        <v>81</v>
      </c>
      <c r="H42" s="36" t="s">
        <v>133</v>
      </c>
      <c r="I42" s="15"/>
      <c r="J42" s="15"/>
      <c r="K42" s="29">
        <v>1020</v>
      </c>
      <c r="L42" s="8"/>
      <c r="M42" s="6"/>
      <c r="N42" s="11"/>
      <c r="O42" s="5"/>
      <c r="P42" s="5"/>
      <c r="Q42" s="5"/>
      <c r="R42" s="29">
        <v>1020</v>
      </c>
      <c r="S42" s="29">
        <v>0</v>
      </c>
      <c r="T42" s="29">
        <v>0</v>
      </c>
      <c r="U42" s="29">
        <v>0</v>
      </c>
      <c r="V42" s="29">
        <v>67.319999999999993</v>
      </c>
      <c r="W42" s="29">
        <v>20.399999999999999</v>
      </c>
      <c r="X42" s="29">
        <v>0</v>
      </c>
      <c r="Y42" s="29">
        <v>932.28</v>
      </c>
      <c r="Z42" s="8">
        <f t="shared" si="6"/>
        <v>932.28000000000009</v>
      </c>
      <c r="AA42" s="9">
        <f t="shared" si="13"/>
        <v>0</v>
      </c>
      <c r="AB42" s="5">
        <v>46091</v>
      </c>
      <c r="AC42" s="5" t="s">
        <v>125</v>
      </c>
      <c r="AD42" s="17">
        <f t="shared" si="8"/>
        <v>0</v>
      </c>
    </row>
    <row r="43" spans="1:30" s="12" customFormat="1" x14ac:dyDescent="0.25">
      <c r="A43" s="27">
        <v>46086</v>
      </c>
      <c r="B43" s="27">
        <v>46086</v>
      </c>
      <c r="C43" s="28">
        <v>7577</v>
      </c>
      <c r="D43" s="36">
        <v>48026</v>
      </c>
      <c r="E43" s="28" t="s">
        <v>66</v>
      </c>
      <c r="F43" s="28" t="s">
        <v>71</v>
      </c>
      <c r="G43" s="7" t="s">
        <v>81</v>
      </c>
      <c r="H43" s="36" t="s">
        <v>117</v>
      </c>
      <c r="I43" s="15"/>
      <c r="J43" s="15"/>
      <c r="K43" s="29">
        <v>782</v>
      </c>
      <c r="L43" s="8"/>
      <c r="M43" s="6"/>
      <c r="N43" s="11"/>
      <c r="O43" s="5"/>
      <c r="P43" s="5"/>
      <c r="Q43" s="5"/>
      <c r="R43" s="29">
        <v>782</v>
      </c>
      <c r="S43" s="29">
        <v>0</v>
      </c>
      <c r="T43" s="29">
        <v>0</v>
      </c>
      <c r="U43" s="29">
        <v>0</v>
      </c>
      <c r="V43" s="29">
        <v>51.61</v>
      </c>
      <c r="W43" s="29">
        <v>15.64</v>
      </c>
      <c r="X43" s="29">
        <v>0</v>
      </c>
      <c r="Y43" s="29">
        <v>714.75</v>
      </c>
      <c r="Z43" s="8">
        <f t="shared" si="6"/>
        <v>714.75</v>
      </c>
      <c r="AA43" s="9">
        <f>S43+T43+U43</f>
        <v>0</v>
      </c>
      <c r="AB43" s="5">
        <v>46091</v>
      </c>
      <c r="AC43" s="5" t="s">
        <v>121</v>
      </c>
      <c r="AD43" s="17">
        <f t="shared" si="8"/>
        <v>0</v>
      </c>
    </row>
    <row r="44" spans="1:30" s="12" customFormat="1" x14ac:dyDescent="0.25">
      <c r="A44" s="27">
        <v>46086</v>
      </c>
      <c r="B44" s="27">
        <v>46086</v>
      </c>
      <c r="C44" s="28">
        <v>15894</v>
      </c>
      <c r="D44" s="36">
        <v>48015</v>
      </c>
      <c r="E44" s="28" t="s">
        <v>67</v>
      </c>
      <c r="F44" s="28" t="s">
        <v>75</v>
      </c>
      <c r="G44" s="7" t="s">
        <v>80</v>
      </c>
      <c r="H44" s="36" t="s">
        <v>118</v>
      </c>
      <c r="I44" s="15"/>
      <c r="J44" s="15"/>
      <c r="K44" s="29">
        <v>6052</v>
      </c>
      <c r="L44" s="8"/>
      <c r="M44" s="6"/>
      <c r="N44" s="11"/>
      <c r="O44" s="5"/>
      <c r="P44" s="5"/>
      <c r="Q44" s="5"/>
      <c r="R44" s="29">
        <v>6052</v>
      </c>
      <c r="S44" s="29">
        <v>0</v>
      </c>
      <c r="T44" s="29">
        <v>0</v>
      </c>
      <c r="U44" s="29">
        <v>0</v>
      </c>
      <c r="V44" s="29">
        <v>0</v>
      </c>
      <c r="W44" s="29">
        <v>0</v>
      </c>
      <c r="X44" s="29">
        <v>0</v>
      </c>
      <c r="Y44" s="29">
        <v>6052</v>
      </c>
      <c r="Z44" s="8">
        <f t="shared" si="6"/>
        <v>6052</v>
      </c>
      <c r="AA44" s="9">
        <f t="shared" si="13"/>
        <v>0</v>
      </c>
      <c r="AB44" s="5">
        <v>46091</v>
      </c>
      <c r="AC44" s="5" t="s">
        <v>127</v>
      </c>
      <c r="AD44" s="17">
        <f t="shared" si="8"/>
        <v>0</v>
      </c>
    </row>
    <row r="45" spans="1:30" s="12" customFormat="1" x14ac:dyDescent="0.25">
      <c r="A45" s="27">
        <v>46086</v>
      </c>
      <c r="B45" s="27">
        <v>46086</v>
      </c>
      <c r="C45" s="28">
        <v>15975</v>
      </c>
      <c r="D45" s="36">
        <v>48027</v>
      </c>
      <c r="E45" s="28" t="s">
        <v>68</v>
      </c>
      <c r="F45" s="28" t="s">
        <v>79</v>
      </c>
      <c r="G45" s="7" t="s">
        <v>80</v>
      </c>
      <c r="H45" s="36" t="s">
        <v>134</v>
      </c>
      <c r="I45" s="15"/>
      <c r="J45" s="15"/>
      <c r="K45" s="29">
        <v>5168</v>
      </c>
      <c r="L45" s="8"/>
      <c r="M45" s="6"/>
      <c r="N45" s="11"/>
      <c r="O45" s="5"/>
      <c r="P45" s="5"/>
      <c r="Q45" s="5"/>
      <c r="R45" s="29">
        <v>5168</v>
      </c>
      <c r="S45" s="29">
        <v>0</v>
      </c>
      <c r="T45" s="29">
        <v>0</v>
      </c>
      <c r="U45" s="29">
        <v>0</v>
      </c>
      <c r="V45" s="29">
        <v>0</v>
      </c>
      <c r="W45" s="29">
        <v>112.15</v>
      </c>
      <c r="X45" s="29">
        <v>0</v>
      </c>
      <c r="Y45" s="29">
        <v>5055.8500000000004</v>
      </c>
      <c r="Z45" s="8">
        <f t="shared" si="6"/>
        <v>5055.8500000000004</v>
      </c>
      <c r="AA45" s="9">
        <f t="shared" si="13"/>
        <v>0</v>
      </c>
      <c r="AB45" s="5">
        <v>46091</v>
      </c>
      <c r="AC45" s="5" t="s">
        <v>127</v>
      </c>
      <c r="AD45" s="17">
        <f t="shared" si="8"/>
        <v>0</v>
      </c>
    </row>
    <row r="46" spans="1:30" s="12" customFormat="1" x14ac:dyDescent="0.25">
      <c r="A46" s="27">
        <v>46086</v>
      </c>
      <c r="B46" s="27">
        <v>46086</v>
      </c>
      <c r="C46" s="28">
        <v>7280</v>
      </c>
      <c r="D46" s="36">
        <v>47994</v>
      </c>
      <c r="E46" s="28" t="s">
        <v>69</v>
      </c>
      <c r="F46" s="28" t="s">
        <v>79</v>
      </c>
      <c r="G46" s="7" t="s">
        <v>80</v>
      </c>
      <c r="H46" s="36" t="s">
        <v>119</v>
      </c>
      <c r="I46" s="15"/>
      <c r="J46" s="15"/>
      <c r="K46" s="29">
        <v>1564</v>
      </c>
      <c r="L46" s="8"/>
      <c r="M46" s="6"/>
      <c r="N46" s="11"/>
      <c r="O46" s="5"/>
      <c r="P46" s="5"/>
      <c r="Q46" s="5"/>
      <c r="R46" s="29">
        <v>1564</v>
      </c>
      <c r="S46" s="29">
        <v>0</v>
      </c>
      <c r="T46" s="29">
        <v>0</v>
      </c>
      <c r="U46" s="29">
        <v>0</v>
      </c>
      <c r="V46" s="29">
        <v>0</v>
      </c>
      <c r="W46" s="29">
        <v>33.94</v>
      </c>
      <c r="X46" s="29">
        <v>0</v>
      </c>
      <c r="Y46" s="29">
        <v>1530.06</v>
      </c>
      <c r="Z46" s="8">
        <f t="shared" si="6"/>
        <v>1530.06</v>
      </c>
      <c r="AA46" s="9">
        <f t="shared" si="13"/>
        <v>0</v>
      </c>
      <c r="AB46" s="5">
        <v>46091</v>
      </c>
      <c r="AC46" s="5" t="s">
        <v>124</v>
      </c>
      <c r="AD46" s="17">
        <f t="shared" si="8"/>
        <v>0</v>
      </c>
    </row>
    <row r="47" spans="1:30" s="12" customFormat="1" x14ac:dyDescent="0.25">
      <c r="A47" s="27">
        <v>46086</v>
      </c>
      <c r="B47" s="27">
        <v>46086</v>
      </c>
      <c r="C47" s="28">
        <v>15934</v>
      </c>
      <c r="D47" s="36">
        <v>48021</v>
      </c>
      <c r="E47" s="28" t="s">
        <v>70</v>
      </c>
      <c r="F47" s="28" t="s">
        <v>74</v>
      </c>
      <c r="G47" s="7" t="s">
        <v>81</v>
      </c>
      <c r="H47" s="36" t="s">
        <v>120</v>
      </c>
      <c r="I47" s="15"/>
      <c r="J47" s="15"/>
      <c r="K47" s="29">
        <v>3774</v>
      </c>
      <c r="L47" s="8"/>
      <c r="M47" s="6"/>
      <c r="N47" s="11"/>
      <c r="O47" s="5"/>
      <c r="P47" s="5"/>
      <c r="Q47" s="5"/>
      <c r="R47" s="29">
        <v>3774</v>
      </c>
      <c r="S47" s="29">
        <v>0</v>
      </c>
      <c r="T47" s="29">
        <v>0</v>
      </c>
      <c r="U47" s="29">
        <v>0</v>
      </c>
      <c r="V47" s="29">
        <v>249.08</v>
      </c>
      <c r="W47" s="29">
        <v>75.48</v>
      </c>
      <c r="X47" s="29">
        <v>0</v>
      </c>
      <c r="Y47" s="29">
        <v>3449.44</v>
      </c>
      <c r="Z47" s="8">
        <f t="shared" si="6"/>
        <v>3449.44</v>
      </c>
      <c r="AA47" s="9">
        <f t="shared" si="13"/>
        <v>0</v>
      </c>
      <c r="AB47" s="5">
        <v>46091</v>
      </c>
      <c r="AC47" s="5" t="s">
        <v>125</v>
      </c>
      <c r="AD47" s="17">
        <f t="shared" si="8"/>
        <v>0</v>
      </c>
    </row>
    <row r="48" spans="1:30" s="35" customFormat="1" x14ac:dyDescent="0.25">
      <c r="A48" s="30" t="s">
        <v>27</v>
      </c>
      <c r="B48" s="31"/>
      <c r="C48" s="31"/>
      <c r="D48" s="32"/>
      <c r="E48" s="31"/>
      <c r="F48" s="31"/>
      <c r="G48" s="32"/>
      <c r="H48" s="32"/>
      <c r="I48" s="33"/>
      <c r="J48" s="33"/>
      <c r="K48" s="33">
        <f>SUM(K4:Q47)</f>
        <v>279930</v>
      </c>
      <c r="L48" s="34"/>
      <c r="M48" s="31"/>
      <c r="N48" s="31"/>
      <c r="O48" s="31"/>
      <c r="P48" s="31"/>
      <c r="Q48" s="31"/>
      <c r="R48" s="33">
        <f>SUM(R4:R47)</f>
        <v>279930</v>
      </c>
      <c r="S48" s="33">
        <f>SUM(S4:S47)</f>
        <v>63.429999999999993</v>
      </c>
      <c r="T48" s="33">
        <f>SUM(T4:T47)</f>
        <v>292.74</v>
      </c>
      <c r="U48" s="33">
        <f>SUM(U4:U47)</f>
        <v>97.58</v>
      </c>
      <c r="V48" s="33">
        <f t="shared" ref="V48:AA48" si="14">SUM(V4:V47)</f>
        <v>3077.0400000000004</v>
      </c>
      <c r="W48" s="33">
        <f t="shared" si="14"/>
        <v>5712.3599999999988</v>
      </c>
      <c r="X48" s="33">
        <f t="shared" si="14"/>
        <v>3066.07</v>
      </c>
      <c r="Y48" s="33">
        <f t="shared" si="14"/>
        <v>267620.77999999997</v>
      </c>
      <c r="Z48" s="33">
        <f t="shared" si="14"/>
        <v>271140.59999999998</v>
      </c>
      <c r="AA48" s="33">
        <f t="shared" si="14"/>
        <v>453.75</v>
      </c>
      <c r="AB48" s="31"/>
      <c r="AC48" s="31"/>
    </row>
  </sheetData>
  <pageMargins left="0" right="0" top="0" bottom="0" header="0.31496062992125984" footer="0.31496062992125984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Eventos Liquidados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Vanesa da Rocha Leal</dc:creator>
  <cp:lastModifiedBy>Jefferson Lopes Carvalho</cp:lastModifiedBy>
  <cp:lastPrinted>2013-12-09T18:50:58Z</cp:lastPrinted>
  <dcterms:created xsi:type="dcterms:W3CDTF">2013-08-01T18:59:15Z</dcterms:created>
  <dcterms:modified xsi:type="dcterms:W3CDTF">2026-04-06T15:02:17Z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2023-06-12T14:46:36Z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b04d3b14-5be6-4dfc-a35f-fd817d9b1918</vt:lpwstr>
  </property>
  <property fmtid="{D5CDD505-2E9C-101B-9397-08002B2CF9AE}" pid="7" name="MSIP_Label_defa4170-0d19-0005-0004-bc88714345d2_ActionId">
    <vt:lpwstr>5f649fb8-1a3c-4498-9426-920bed9d3546</vt:lpwstr>
  </property>
  <property fmtid="{D5CDD505-2E9C-101B-9397-08002B2CF9AE}" pid="8" name="MSIP_Label_defa4170-0d19-0005-0004-bc88714345d2_ContentBits">
    <vt:lpwstr>0</vt:lpwstr>
  </property>
</Properties>
</file>