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os Conhecidos - PF" state="visible" r:id="rId4"/>
    <sheet sheetId="2" name="Eventos Conhecidos - PJ" state="visible" r:id="rId5"/>
  </sheets>
  <calcPr calcId="171027"/>
</workbook>
</file>

<file path=xl/sharedStrings.xml><?xml version="1.0" encoding="utf-8"?>
<sst xmlns="http://schemas.openxmlformats.org/spreadsheetml/2006/main" count="1028" uniqueCount="519">
  <si>
    <t>ODONTOART - EVENTOS CONHECIDOS - MARÇO.2026</t>
  </si>
  <si>
    <t>CRUZAR COM CONHECIDOS DO MÊS ANTERIOR/EXTERNO: MÊS EVENTO, MÊS ANTERIOR EVENTO, MÊS EVENTO  / INTERNO: MÊS EVENTO,MÊS EVENTO,MÊS EVENTO (ODONTOMOVEL É INTERNO)</t>
  </si>
  <si>
    <t>COMP</t>
  </si>
  <si>
    <t>DT. OCORR</t>
  </si>
  <si>
    <t>DT. AVISO</t>
  </si>
  <si>
    <t>CODIGO</t>
  </si>
  <si>
    <t>LOTE</t>
  </si>
  <si>
    <t>NOME-PRESTADOR</t>
  </si>
  <si>
    <t>Tipo</t>
  </si>
  <si>
    <t>CNPJ/CPF</t>
  </si>
  <si>
    <t>Modelo de Pagamento</t>
  </si>
  <si>
    <t>Empresarial</t>
  </si>
  <si>
    <t>Individual</t>
  </si>
  <si>
    <t>Ortodontia</t>
  </si>
  <si>
    <t>VL. BRUTO</t>
  </si>
  <si>
    <t>INSS</t>
  </si>
  <si>
    <t>ISS</t>
  </si>
  <si>
    <t>IR</t>
  </si>
  <si>
    <t>LIQUIDO</t>
  </si>
  <si>
    <t>LIQUIDO AGING</t>
  </si>
  <si>
    <t>TOTAL PAGO</t>
  </si>
  <si>
    <t>DT. PAGTO</t>
  </si>
  <si>
    <t/>
  </si>
  <si>
    <t>Aliq.</t>
  </si>
  <si>
    <t>MICARLA MELO DA SILVA COD(82840) CRO: 5838</t>
  </si>
  <si>
    <t>PF</t>
  </si>
  <si>
    <t>018.332.834-57</t>
  </si>
  <si>
    <t>RPA EXTERNO SEM ISS - ITAU</t>
  </si>
  <si>
    <t>RAFAEL FREDERICO VALE DE OLIVEIRA RODRIGUES COD(16003) CRO: 5400</t>
  </si>
  <si>
    <t>098.843.424-58</t>
  </si>
  <si>
    <t>RPA EXTERNO SEM ISS - BANCO DO BRASIL</t>
  </si>
  <si>
    <t>CAMILA KEVILLANY PEREIRA BRAGA COD(8609) CRO: 8614</t>
  </si>
  <si>
    <t>059.235.673-69</t>
  </si>
  <si>
    <t>MARIA CHERLANE FERREIRA APOLONIO COD(9834) CRO: 7128</t>
  </si>
  <si>
    <t>027.083.633-01</t>
  </si>
  <si>
    <t>DHANIEL ANDERSON OLIMPIO BARBOSA COD(8802) CRO: 7751</t>
  </si>
  <si>
    <t>038.823.033-95</t>
  </si>
  <si>
    <t>MARCELA RAIANNY DA SILVA FERREIRA COD(15533) CRO: 11460</t>
  </si>
  <si>
    <t>603.235.413-05</t>
  </si>
  <si>
    <t>FELIPE BRAGA SOBRAL COD(9422) CRO: 6981</t>
  </si>
  <si>
    <t>028.047.823-28</t>
  </si>
  <si>
    <t>RPA EXTERNO - BANCO DO BRASIL</t>
  </si>
  <si>
    <t>JESSIKELLY ALVES DA SILVA COD(15337) CRO: 14464</t>
  </si>
  <si>
    <t>604.091.313-42</t>
  </si>
  <si>
    <t>ROBERTA SAMILA DA COSTA VIEIRA COD(82888) CRO: 15404</t>
  </si>
  <si>
    <t>070.863.793-01</t>
  </si>
  <si>
    <t>BRUNO SILVA QUEIROZ COD(14672) CRO: 06512</t>
  </si>
  <si>
    <t>089.838.884-82</t>
  </si>
  <si>
    <t>BRISA RUBENS DOS SANTOS COD(9041) CRO: 7338</t>
  </si>
  <si>
    <t>035.824.173-10</t>
  </si>
  <si>
    <t>CARLA MARTINS DE OLIVEIRA COD(15785) CRO: 8383</t>
  </si>
  <si>
    <t>015.652.693-06</t>
  </si>
  <si>
    <t>CLINICA CLIMESQ - (SANTA QUITÉRIA) - CEARÁ</t>
  </si>
  <si>
    <t>603.248.533-19</t>
  </si>
  <si>
    <t>CLÍNICA DR JERFESON VIRGULINO</t>
  </si>
  <si>
    <t>051.622.393-30</t>
  </si>
  <si>
    <t>DAVID CHAVES FARIAS COD(8211) CRO: 6872</t>
  </si>
  <si>
    <t>627.298.373-53</t>
  </si>
  <si>
    <t>MANUEL SERGIO FARIAS FILHO COD(9660) CRO: 10769</t>
  </si>
  <si>
    <t>020.927.093-48</t>
  </si>
  <si>
    <t>ADRIANO LIMA VERDE DE LIMA COD(10002) CRO: 2874</t>
  </si>
  <si>
    <t>120.665.318-39</t>
  </si>
  <si>
    <t>ZEDEQUIAS WILLAMES SALES DE LIMA COD(15088) CRO: 13012</t>
  </si>
  <si>
    <t>669.730.153-87</t>
  </si>
  <si>
    <t>RPA EXTERNO - ITAU</t>
  </si>
  <si>
    <t>ELAYNE ADRIANA CLEMENTINO COD(82890) CRO: 8569</t>
  </si>
  <si>
    <t>706.246.804-52</t>
  </si>
  <si>
    <t>VLADIA COSTA CASTRO E SILVA - CRED FORTALEZA COD(3772) CRO: 3772</t>
  </si>
  <si>
    <t>705.530.923-91</t>
  </si>
  <si>
    <t>CLAUDIA HOLANDA MENDES MAIA COD(14671) CRO: 10918</t>
  </si>
  <si>
    <t>039.233.873-42</t>
  </si>
  <si>
    <t>ROSANE DE SOUSA TEIXEIRA - CL. LUIZA BEZERRA COD(14751) CRO: 11156</t>
  </si>
  <si>
    <t>062.191.003-10</t>
  </si>
  <si>
    <t>ANA KAMILA ALENCAR KARAM COD(82880) CRO: 9083</t>
  </si>
  <si>
    <t>054.126.853-82</t>
  </si>
  <si>
    <t>THIAGO VASCONCELOS MELO COD(82808) CRO: 13482</t>
  </si>
  <si>
    <t>617.372.713-70</t>
  </si>
  <si>
    <t>BEATRIZ PURCARU COD(15604) CRO: 11201</t>
  </si>
  <si>
    <t>067.393.903-04</t>
  </si>
  <si>
    <t>CLAUDIA MARIA MOTA PORTO COD(8749) CRO: 1309</t>
  </si>
  <si>
    <t>091.618.723-34</t>
  </si>
  <si>
    <t>ARETHIA BASTOS SANTOS SILVA COD(15681) CRO: 14829</t>
  </si>
  <si>
    <t>953.393.295-34</t>
  </si>
  <si>
    <t>CARLOS TARCIANO TEIXEIRA DE ALMEIDA COD(9859) CRO: 4597</t>
  </si>
  <si>
    <t>863.502.693-49</t>
  </si>
  <si>
    <t>ARTHUR REGO DE QUEIROS COD(82777) CRO: 8276</t>
  </si>
  <si>
    <t>084.735.624-88</t>
  </si>
  <si>
    <t>HAROLDO VALE DE BRITO COD(9841) CRO: 2642</t>
  </si>
  <si>
    <t>304.902.352-04</t>
  </si>
  <si>
    <t>MATHEUS MARQUES DOS SANTOS COD(8299) CRO: 7769</t>
  </si>
  <si>
    <t>026.988.053-40</t>
  </si>
  <si>
    <t>MAXIMILIANO REGIS FERREIRA VITORINO COD(9151) CRO: 7716</t>
  </si>
  <si>
    <t>920.300.093-34</t>
  </si>
  <si>
    <t>ANTONIO MARLOS CORREIA COUTO COD(9597) CRO: 6599</t>
  </si>
  <si>
    <t>025.848.923-59</t>
  </si>
  <si>
    <t>MARIA LAIZ MOREIRA DE SOUZA COD(7718) CRO: 7988</t>
  </si>
  <si>
    <t>022.634.213-19</t>
  </si>
  <si>
    <t>NELSIMAR BEZERRA SANTOS SILVA - CRED COD(2814) CRO: 2814</t>
  </si>
  <si>
    <t>357.712.243-91</t>
  </si>
  <si>
    <t>EDIMILSON SANTOS SILVA FILHO COD(15680) CRO: 5481</t>
  </si>
  <si>
    <t>742.293.625-87</t>
  </si>
  <si>
    <t>ANTONIO MARCIO ALMEIDA MELO COD(15455) CRO: 4441</t>
  </si>
  <si>
    <t>614.495.983-15</t>
  </si>
  <si>
    <t>ANA BEATRIZ DE SA COD(82894) CRO: 14961</t>
  </si>
  <si>
    <t>067.860.173-98</t>
  </si>
  <si>
    <t>ROSIMEIRE DO NASCIMENTO DANTAS DE OLIVEIRA COD(14826) CRO: 4441</t>
  </si>
  <si>
    <t>938.645.404-10</t>
  </si>
  <si>
    <t>SARAH HOLANDA UCHOA CARVALHO COD(9815) CRO: 6058</t>
  </si>
  <si>
    <t>009.742.433-10</t>
  </si>
  <si>
    <t>GIANA ALVES DE LIMA COD(9059) CRO: 2812</t>
  </si>
  <si>
    <t>380.479.004-63</t>
  </si>
  <si>
    <t>SABRYNA RAQUEL VIEIRA FERNANDES COD(9508) CRO: 10581</t>
  </si>
  <si>
    <t>048.544.493-30</t>
  </si>
  <si>
    <t>ADRIELLE FERNANDES BRITO VASCONCELOS COD(14050) CRO: 11768</t>
  </si>
  <si>
    <t>060.509.883-23</t>
  </si>
  <si>
    <t>MARCIO AGUIAR ALBUQUERQUE COD(9248) CRO: 5243</t>
  </si>
  <si>
    <t>731.812.263-00</t>
  </si>
  <si>
    <t>JOSE RIBAMAR MONTEIRO JUNIOR COD(8324) CRO: 2818</t>
  </si>
  <si>
    <t>320.054.153-91</t>
  </si>
  <si>
    <t>RPA EXTERNO TETO INSS - ITAU</t>
  </si>
  <si>
    <t>ALEXANDRE GOMES DE SIQUEIRA COD(8748) CRO: 9512</t>
  </si>
  <si>
    <t>724.981.297-15</t>
  </si>
  <si>
    <t>DORNELLYS HALLAN BESSA CAVALCANTE - PAU DOS FERROS COD(8700) CRO: 4697</t>
  </si>
  <si>
    <t>096.400.164-03</t>
  </si>
  <si>
    <t>WILLIAM SOUSA ARAGÃO COD(82790) CRO: 12579</t>
  </si>
  <si>
    <t>073.062.973-25</t>
  </si>
  <si>
    <t>NICOLI DANIELLI MACEDO RODRIGUES DE SOUZA COD(8902) CRO: 8219</t>
  </si>
  <si>
    <t>509.129.842-87</t>
  </si>
  <si>
    <t>JOANA LARISSA LIMA SENA - LIMOEIRO DO NORTE COD(15878) CRO: 10847</t>
  </si>
  <si>
    <t>063.183.363-38</t>
  </si>
  <si>
    <t>EDVANDO BALIEIRO MADURO COD(15275) CRO: 14544</t>
  </si>
  <si>
    <t>002.967.382-80</t>
  </si>
  <si>
    <t>ELISIO SOUSA DOS SANTOS JUNIOR COD(15276) CRO: 14546</t>
  </si>
  <si>
    <t>011.977.632-44</t>
  </si>
  <si>
    <t>RITA EVELYN RIBEIRO FLORENCIO COD(16000) CRO: 001908</t>
  </si>
  <si>
    <t>017.223.572-31</t>
  </si>
  <si>
    <t>JOAO GUSTAVO SILVA TAVARES COD(82961) CRO: 15875</t>
  </si>
  <si>
    <t>052.981.783-75</t>
  </si>
  <si>
    <t>FLAVIA FURTADO PARENTE RAFAEL - ITAPIPOCA COD(15952) CRO: 2949</t>
  </si>
  <si>
    <t>437.413.553-72</t>
  </si>
  <si>
    <t>JULIA VIANA LOPES DE PAULA COD(15346) CRO: 10361</t>
  </si>
  <si>
    <t>067.805.593-93</t>
  </si>
  <si>
    <t>LAIANE LUCENA SAMPAIO COD(9204) CRO: 9385</t>
  </si>
  <si>
    <t>035.811.263-03</t>
  </si>
  <si>
    <t>JOSE OSVALDO ANGELIM JUNIOR COD(82807) CRO: 5160</t>
  </si>
  <si>
    <t>642.307.083-00</t>
  </si>
  <si>
    <t>FERNANDA PINTO MARQUES - PF COD(15917) CRO: 14740</t>
  </si>
  <si>
    <t>072.809.943-85</t>
  </si>
  <si>
    <t>JOAO PEDRO MARQUES MARTINS COD(15262) CRO: 13272</t>
  </si>
  <si>
    <t>040.964.843-42</t>
  </si>
  <si>
    <t>BEATRIZ SANTOS OLIVEIRA COD(15877) CRO: 16035</t>
  </si>
  <si>
    <t>025.393.263-74</t>
  </si>
  <si>
    <t>JOAO EDUARDO PORTUGAL CRUZ COD(82903) CRO: 17198</t>
  </si>
  <si>
    <t>076.391.434-70</t>
  </si>
  <si>
    <t>JULIANA GALVAO BARROS COD(15333) CRO: 14637</t>
  </si>
  <si>
    <t>062.666.793-37</t>
  </si>
  <si>
    <t>LINDA JESSICA MOTA XAVIER COD(15505) CRO: 15223</t>
  </si>
  <si>
    <t>063.932.653-61</t>
  </si>
  <si>
    <t>ADELINE LOPES DE ALBUQUERQUE - CRED COD(3316) CRO: 3316</t>
  </si>
  <si>
    <t>393.513.863-68</t>
  </si>
  <si>
    <t>MOEMA MOREIRA BRAGA MOTA - CRED MARANGUAPE COD(10093) CRO: 4928</t>
  </si>
  <si>
    <t>513.165.953-15</t>
  </si>
  <si>
    <t>ALFREDO BEZERRA DA SILVA COD(15267) CRO: 14054</t>
  </si>
  <si>
    <t>613.783.303-82</t>
  </si>
  <si>
    <t>RICARDO FEIJAO DE SOUSA COD(9811) CRO: 3807</t>
  </si>
  <si>
    <t>544.516.473-04</t>
  </si>
  <si>
    <t>NEYLA LIMA CESAR QUEIROZ COD(15536) CRO: 13424</t>
  </si>
  <si>
    <t>048.469.693-98</t>
  </si>
  <si>
    <t>OTACILIO DOS SANTOS SOBRINHO COD(8790) CRO: 5118</t>
  </si>
  <si>
    <t>887.756.403-25</t>
  </si>
  <si>
    <t>ITHAMARA ANISLANY BEZERRA DA SILVA COD(16016) CRO: 8215</t>
  </si>
  <si>
    <t>079.610.314-30</t>
  </si>
  <si>
    <t>ANA CLAUDIA DE SOUSA VERAS - CLINICO APEOC COD(7474) CRO: 2407</t>
  </si>
  <si>
    <t>410.427.783-53</t>
  </si>
  <si>
    <t>RPA INTERNO CLINICO - BANCO DO BRASIL</t>
  </si>
  <si>
    <t>ARYANNE FORTUNA DE ALBUQUERQUE CAMARA FAUSTINO - CLINICO APEOC COD(82865) CRO: 16241</t>
  </si>
  <si>
    <t>621.405.333-05</t>
  </si>
  <si>
    <t>RPA INTERNO CLINICO - ITAU</t>
  </si>
  <si>
    <t>ALBA FORTUNA DE ALBUQUERQUE CAMARA FAUSTINO - DIAGNOSTICO CLINICO FORTALEZA COD(15927) CRO: 16242</t>
  </si>
  <si>
    <t>621.405.273-21</t>
  </si>
  <si>
    <t>ALEIDA ISABEL DE VEIGA MARTINS - CLINICO FORTALEZA COD(82879) CRO: 13531</t>
  </si>
  <si>
    <t>082.843.561-80</t>
  </si>
  <si>
    <t>ANA CLAUDIA DE SOUSA VERAS - CLINICO FORTALEZA COD(2407) CRO: 2407</t>
  </si>
  <si>
    <t>ANA JULIA FERNANDES TORRES- CLINICO FORTALEZA COD(15514) CRO: 15396</t>
  </si>
  <si>
    <t>079.404.393-32</t>
  </si>
  <si>
    <t>ANTONIA RAYANE LOIOLA FEITOSA - CLINICO FORTALEZA COD(15567) CRO: 15658</t>
  </si>
  <si>
    <t>062.650.663-82</t>
  </si>
  <si>
    <t>ARYANNE FORTUNA DE ALBUQUERQUE CAMARA FAUSTINO - CLINICO FORTALEZA COD(15732) CRO: 16241</t>
  </si>
  <si>
    <t>RPA INTERNO CLINICO SEM ISS</t>
  </si>
  <si>
    <t>CASSIA RESENDE BORGES - CLINICO FORTALEZA COD(16018) CRO: 17231</t>
  </si>
  <si>
    <t>062.716.193-63</t>
  </si>
  <si>
    <t>EMESON SOARES ALEXANDRE - CLINICO FORTALEZA COD(82978) CRO: 18090</t>
  </si>
  <si>
    <t>074.420.963-36</t>
  </si>
  <si>
    <t>FRANCISCO YURI DE SOUSA AZEVEDO - CLINICO FORTALEZA COD(82872) CRO: 17285</t>
  </si>
  <si>
    <t>076.247.883-73</t>
  </si>
  <si>
    <t>GISELY COSTA GIANCIPOLI - SUBSTITUTO CLINICO FORTALEZA COD(82967) CRO: 12598</t>
  </si>
  <si>
    <t>075.992.603-40</t>
  </si>
  <si>
    <t>LAUDYENE ALVES MARTINS - SUBSTITUTO CLINICO FORTALEZA COD(82958) CRO: 15377</t>
  </si>
  <si>
    <t>045.292.423-58</t>
  </si>
  <si>
    <t>LEILA MARIA LUDUVINO RAMALHO DA SILVA - CLINICO FORTALEZA COD(82871) CRO: 16250</t>
  </si>
  <si>
    <t>649.123.293-04</t>
  </si>
  <si>
    <t>LETICIA FERREIRA DE CASTRO - CLINICO FORTALEZA COD(15767) CRO: 15998</t>
  </si>
  <si>
    <t>084.429.043-28</t>
  </si>
  <si>
    <t>LETICIA FERREIRA DE CASTRO - DIAGNOSTICO CLINICO FORTALEZA COD(82873) CRO: 15998</t>
  </si>
  <si>
    <t>LUZIA RAYANE GOMES DE LIMA - SUBSTITUTO CLINICO FORTALEZA COD(82972) CRO: 16735</t>
  </si>
  <si>
    <t>072.339.033-95</t>
  </si>
  <si>
    <t>MARINA CONRADO FACANHA - SUBSTITUTO CLINICO FORTALEZA COD(83001) CRO: 17745</t>
  </si>
  <si>
    <t>060.787.983-16</t>
  </si>
  <si>
    <t>THAIS CAROLINA COSTA BARRETO SA - CLINICO FORTALEZA COD(8075) CRO: 5432</t>
  </si>
  <si>
    <t>215.718.918-11</t>
  </si>
  <si>
    <t>THAYS OLIVEIRA SANTIAGO - DIAGNOSTICO CLINICO FORTALEZA COD(15735) CRO: 14760</t>
  </si>
  <si>
    <t>072.049.833-35</t>
  </si>
  <si>
    <t>VANDA MARIA SILVA FREIRE - CLINICO FORTALEZA COD(82931) CRO: 17287</t>
  </si>
  <si>
    <t>049.360.443-00</t>
  </si>
  <si>
    <t>VIVIANE EVILINN ALMEIDA - SUBSTITUTO CLINICO FORTALEZA COD(82816) CRO: 16937</t>
  </si>
  <si>
    <t>019.619.603-54</t>
  </si>
  <si>
    <t>WEVERTON LUCAS SILVA LIMA - CLINICO FORTALEZA COD(15357) CRO: 15049</t>
  </si>
  <si>
    <t>071.690.763-14</t>
  </si>
  <si>
    <t>GABRIELLE MARIA DO NASCIMENTO DANTAS - DIAGNOSTICO CLINICO FORTALEZA COD(14052) CRO: 12769</t>
  </si>
  <si>
    <t>068.020.823-22</t>
  </si>
  <si>
    <t>LAIS DA SILVA ABREU - SUBSTITUTO CLINICO FORTALEZA COD(82815) CRO: 17366</t>
  </si>
  <si>
    <t>080.958.443-30</t>
  </si>
  <si>
    <t>LOREN SOARES PEREZ GOMES - DIAGNOSTICO CLINICO FORTALEZA COD(9399) CRO: 10714</t>
  </si>
  <si>
    <t>036.495.323-36</t>
  </si>
  <si>
    <t>LUCIANA DENISOVAS DE SOUZA - CLINICO FORTALEZA COD(15487) CRO: 15151</t>
  </si>
  <si>
    <t>611.287.763-59</t>
  </si>
  <si>
    <t>LUCIANA DENISOVAS DE SOUZA - DIAGNOSTICO CLINICO FORTALEZA COD(15661) CRO: 15151</t>
  </si>
  <si>
    <t>MARIA FABIANNE DE VASCONCELOS NOGUEIRA - CLINICO FORTALEZA COD(82766) CRO: 16526</t>
  </si>
  <si>
    <t>074.844.173-51</t>
  </si>
  <si>
    <t>MARIANA MACIEL VENTURA CAVALCANTE - CLINICO FORTALEZA COD(15342) CRO: 14710</t>
  </si>
  <si>
    <t>076.898.063-17</t>
  </si>
  <si>
    <t>MATHEUS DE SOUSA AGUIAR - CLINICO FORTALEZA COD(82898) CRO: 17232</t>
  </si>
  <si>
    <t>063.512.863-28</t>
  </si>
  <si>
    <t>STEPHANIE SILVA DOS SANTOS - CLINICO FORTALEZA COD(15645) CRO: 14301</t>
  </si>
  <si>
    <t>060.183.663-47</t>
  </si>
  <si>
    <t>STEPHANIE SILVA DOS SANTOS - DIAGNOSTICO CLINICO FORTALEZA COD(82848) CRO: 14301</t>
  </si>
  <si>
    <t>AMANDA MATOS TAVARES - SUBSTITUTO CLINICO FORTALEZA COD(82984) CRO: 17681</t>
  </si>
  <si>
    <t>046.250.703-33</t>
  </si>
  <si>
    <t>ANA CAROLINE DOS SANTOS LIMA - DIAGNOSTICO CLINICO FORTALEZA COD(13514) CRO: 12787</t>
  </si>
  <si>
    <t>072.256.663-80</t>
  </si>
  <si>
    <t>DEBORA DE FREITAS BRASIL - CLINICO FORTALEZA COD(15954) CRO: 15147</t>
  </si>
  <si>
    <t>076.546.213-37</t>
  </si>
  <si>
    <t>ELISABETH PINTO BEZERRA - CLINICO FORTALEZA COD(15725) CRO: 16103</t>
  </si>
  <si>
    <t>033.206.753-03</t>
  </si>
  <si>
    <t>GABRIELLE OLIVEIRA ANJOS - CLINICO FORTALEZA COD(15022) CRO: 13581</t>
  </si>
  <si>
    <t>073.447.693-01</t>
  </si>
  <si>
    <t>GABRIELLE OLIVEIRA ANJOS - DIAGNOSTICO CLINICO FORTALEZA COD(15255) CRO: 13581</t>
  </si>
  <si>
    <t>GEORGIA COSME MINEIRO - DIAGNOSTICO CLINICO FORTALEZA COD(9223) CRO: 10381</t>
  </si>
  <si>
    <t>036.499.773-70</t>
  </si>
  <si>
    <t>GEOVANNA MARTINS DE OLIVEIRA - SUBSTITUTO CLINICO FORTALEZA COD(15247) CRO: 12792</t>
  </si>
  <si>
    <t>612.420.183-60</t>
  </si>
  <si>
    <t>LUCAS DE ALMEIDA MARQUES - CLINICO FORTALEZA COD(82899) CRO: 17562</t>
  </si>
  <si>
    <t>033.306.123-39</t>
  </si>
  <si>
    <t>MICHELLY TEIXEIRA DE FREITAS - CLINICO FORTALEZA COD(14740) CRO: 10971</t>
  </si>
  <si>
    <t>047.859.043-13</t>
  </si>
  <si>
    <t>ROBERTA GALVINO MOREIRA - CLINICO FORTALEZA COD(15833) CRO: 14770</t>
  </si>
  <si>
    <t>076.465.023-83</t>
  </si>
  <si>
    <t>TAISA MARIA DOS SANTOS HONORATO - SUBSTITUTO CLINICO FORTALEZA COD(82951) CRO: 17263</t>
  </si>
  <si>
    <t>068.291.793-19</t>
  </si>
  <si>
    <t>WELLYSON MARTINS - CLINICO FORTALEZA COD(14016) CRO: 12763</t>
  </si>
  <si>
    <t>028.151.723-13</t>
  </si>
  <si>
    <t>WEVERTON LUCAS SILVA LIMA - DIAGNOSTICO CLINICO FORTALEZA COD(15598) CRO: 15049</t>
  </si>
  <si>
    <t>ANA SAMYLLE ALVES MOURA - CLINICO SOBRAL COD(9933) CRO: 10258</t>
  </si>
  <si>
    <t>062.244.533-22</t>
  </si>
  <si>
    <t>ARIEL KEYMESSON SOUZA DE MELO - CLINICO SOBRAL COD(15296) CRO: 14513</t>
  </si>
  <si>
    <t>070.035.413-19</t>
  </si>
  <si>
    <t>ARIEL KEYMESSON SOUZA DE MELO - DIAGNOSTICO CLINICO SOBRAL COD(15759) CRO: 14513</t>
  </si>
  <si>
    <t>FRANCISCO ARAUJO COSTA FILHO - CLINICO SOBRAL COD(8104) CRO: 8098</t>
  </si>
  <si>
    <t>014.732.273-13</t>
  </si>
  <si>
    <t>HISLANA XAVIER BARRETO LIMA - CLINICO SOBRAL COD(14954) CRO: 13573</t>
  </si>
  <si>
    <t>062.596.743-76</t>
  </si>
  <si>
    <t>MAYARA LIMA CAMERINO - CLINICO SOBRAL COD(82811) CRO: 15627</t>
  </si>
  <si>
    <t>080.457.793-57</t>
  </si>
  <si>
    <t>REBECA COELHO CARVALHO - CLINICO SOBRAL COD(15910) CRO: 16790</t>
  </si>
  <si>
    <t>046.550.303-99</t>
  </si>
  <si>
    <t>RIVANA JESSICA FARIAS DE PAULO - CLINICO SOBRAL COD(15911) CRO: 16445</t>
  </si>
  <si>
    <t>064.187.793-55</t>
  </si>
  <si>
    <t>SABRINA ELLEN ARAGAO ALCANTARA - CLINICO SOBRAL COD(15569) CRO: 15519</t>
  </si>
  <si>
    <t>036.393.433-28</t>
  </si>
  <si>
    <t>SABRINA WENDY DE SOUZA TAVARES - ODONTOMOVEL - FORTALEZA COD(9944) CRO: 12325</t>
  </si>
  <si>
    <t>609.131.323-14</t>
  </si>
  <si>
    <t>RPA ODONTOMOVEL INTERNO</t>
  </si>
  <si>
    <t>RAUNY PAIVA DA ROCHA COD(82847) CRO: 8811</t>
  </si>
  <si>
    <t>054.835.393-03</t>
  </si>
  <si>
    <t>HANNAH MAGALHAES EHBRECHT COD(82944) CRO: 11235</t>
  </si>
  <si>
    <t>062.852.313-03</t>
  </si>
  <si>
    <t>TOTAL</t>
  </si>
  <si>
    <t>RUAN DOS S. CRUZ &amp; LETICYA M. OLIVEIRA LTDA</t>
  </si>
  <si>
    <t>PJ</t>
  </si>
  <si>
    <t>59.030.947/0001-98</t>
  </si>
  <si>
    <t>NF EXTERNO SIMPLES SEM ISS - 2,00%-ITAU</t>
  </si>
  <si>
    <t>RDR ODONTO SERVICOS ODONTOLOGICOS LTDA</t>
  </si>
  <si>
    <t>29.469.777/0001-81</t>
  </si>
  <si>
    <t>RDR ODONTO SERVICOS ODONTOLOGICOS</t>
  </si>
  <si>
    <t>29.469.777/0002-62</t>
  </si>
  <si>
    <t>NF EXTERNO SIMPLES C/ ISS - 2,81%-ITAU</t>
  </si>
  <si>
    <t>CAROLINA BEZERRA VIEIRA COD(82892) CRO: 7012</t>
  </si>
  <si>
    <t>29.985.756/0001-19</t>
  </si>
  <si>
    <t>CLINICA DE REABILITACAO ORO FACIAL LTDA</t>
  </si>
  <si>
    <t>11.744.398/0001-97</t>
  </si>
  <si>
    <t>NF EXTERNO SIMPLES C/ ISS - 2,00%-BANCO DO BRASIL</t>
  </si>
  <si>
    <t>LB ODONTOLOGIA ESPECIALIZADA</t>
  </si>
  <si>
    <t>56.979.705/0001-57</t>
  </si>
  <si>
    <t>NF EXTERNO SIMPLES C/ ISS - 2,17%-ITAU</t>
  </si>
  <si>
    <t>JESSICA INGRID DE OLIVEIRA ANDRADE</t>
  </si>
  <si>
    <t>31.952.459/0001-19</t>
  </si>
  <si>
    <t>KARLA PINHEIRO DE ALENCAR EIRELI</t>
  </si>
  <si>
    <t>32.384.108/0001-11</t>
  </si>
  <si>
    <t>SORRIA LESTE CLINICA ODONTOLOGICA LTDA</t>
  </si>
  <si>
    <t>58.414.414/0001-47</t>
  </si>
  <si>
    <t>NF EXTERNO SIMPLES C/ ISS - 2,01%-ITAU</t>
  </si>
  <si>
    <t>CLINICA IDEARODONTOLOGIA LTDA</t>
  </si>
  <si>
    <t>58.032.448/0001-77</t>
  </si>
  <si>
    <t>ROBERIO FABIO VILARES RAMOS LANDULFO</t>
  </si>
  <si>
    <t>12.358.508/0001-45</t>
  </si>
  <si>
    <t>NF EXTERNO SIMPLES SEM ISS - 2,00%-BANCO DO BRASIL</t>
  </si>
  <si>
    <t>NUCLEO DE ATENDIMENTO ODONTOLÓGICO NATO LTDA -ME</t>
  </si>
  <si>
    <t>07.618.011/0001-89</t>
  </si>
  <si>
    <t>NF EXTERNO SIMPLES C/ ISS - 2,77%-ITAU</t>
  </si>
  <si>
    <t>MAIS DENTISTA CENTRO ODONTOLOGICO LTDA</t>
  </si>
  <si>
    <t>44.733.649/0001-97</t>
  </si>
  <si>
    <t>RL SMILE LTDA</t>
  </si>
  <si>
    <t>58.496.881/0001-63</t>
  </si>
  <si>
    <t>NF EXTERNO SIMPLES C/ ISS - 2,00%-ITAU</t>
  </si>
  <si>
    <t>PINHEIRO XENOFONTE SERVICOS MEDICOS LTDA-ME</t>
  </si>
  <si>
    <t>25.148.363/0001-08</t>
  </si>
  <si>
    <t>M O A J AMARAL MACHADO EIRELI</t>
  </si>
  <si>
    <t>33.718.700/0001-75</t>
  </si>
  <si>
    <t>BEM ESTAR - CENTRO MEDICO E ODONTOLOGICO LTDA</t>
  </si>
  <si>
    <t>23.706.590/0001-78</t>
  </si>
  <si>
    <t>NF EXTERNO SIMPLES C/ ISS - 3,42%-ITAU</t>
  </si>
  <si>
    <t>PAULO BIROLLI NETO</t>
  </si>
  <si>
    <t>31.745.744/0001-69</t>
  </si>
  <si>
    <t>BRASIL BASTOS ODONTOLOGIA LTDA</t>
  </si>
  <si>
    <t>39.591.061/0001-06</t>
  </si>
  <si>
    <t>CLINICA ODONTOLOGICA LIMA CAROLINO LTDA</t>
  </si>
  <si>
    <t>25.033.225/0001-75</t>
  </si>
  <si>
    <t>CEOP - ODONTOLOGIA LTDA - PACAJUS</t>
  </si>
  <si>
    <t>30.591.725/0001-62</t>
  </si>
  <si>
    <t>CHECK-UP CENTRO DE ODONTOLOGIA E SA</t>
  </si>
  <si>
    <t>18.516.273/0001-59</t>
  </si>
  <si>
    <t>H. DE M. MOREIRA NETO</t>
  </si>
  <si>
    <t>57.478.660/0001-08</t>
  </si>
  <si>
    <t>CLÍNICA ODONTOLOGIA DR ANDRE FORTUNA</t>
  </si>
  <si>
    <t>62.023.889/0001-80</t>
  </si>
  <si>
    <t>CLINICA 7 SORRISO ODONTOLOGIA ESTETICA SAUDE E SERVICOS LTDA</t>
  </si>
  <si>
    <t>52.714.874/0001-04</t>
  </si>
  <si>
    <t>LL PEREIRA ODONTOLOGIA</t>
  </si>
  <si>
    <t>24.387.848/0001-83</t>
  </si>
  <si>
    <t>CLINICA DE SAUDE INTEGRADA LUIZA MOREIRA LTDA</t>
  </si>
  <si>
    <t>08.377.967/0001-07</t>
  </si>
  <si>
    <t>NF EXTERNO SEM ISS - BANCO DO BRASIL</t>
  </si>
  <si>
    <t>AJJ SERVICOS ODONTOLOGICOS E ESTETICOS LTDA</t>
  </si>
  <si>
    <t>65.093.958/0001-10</t>
  </si>
  <si>
    <t>JADON L BARBOSA - ME</t>
  </si>
  <si>
    <t>42.108.606/0001-95</t>
  </si>
  <si>
    <t>F.T.P. VICTOR LTDA</t>
  </si>
  <si>
    <t>42.586.010/0001-09</t>
  </si>
  <si>
    <t>ANA CINTIA PERDIGAO MOREIRA ARAUJO</t>
  </si>
  <si>
    <t>56.387.578/0001-05</t>
  </si>
  <si>
    <t>GOMES VERISSIMO ODONTOLOGIA LTDA</t>
  </si>
  <si>
    <t>56.258.427/0001-49</t>
  </si>
  <si>
    <t>IP CIRURGIA E REABILITACAO ORAL LTDA</t>
  </si>
  <si>
    <t>52.219.007/0001-00</t>
  </si>
  <si>
    <t>CLINICA MEDICA DR BRASIL PARAIPABA LTDA</t>
  </si>
  <si>
    <t>18.382.433/0001-14</t>
  </si>
  <si>
    <t>F L PARENTE VIANA-ME</t>
  </si>
  <si>
    <t>21.430.051/0001-23</t>
  </si>
  <si>
    <t>CLINICA ODONTOLOGIA ORALFACE LTDA</t>
  </si>
  <si>
    <t>47.154.163/0001-92</t>
  </si>
  <si>
    <t>ODONTOLOGIA INTEGRADA DO CEARA LTDA</t>
  </si>
  <si>
    <t>07.910.686/0001-05</t>
  </si>
  <si>
    <t>CLINICA ODONTOLOGICA DRA ANDREZA FERREIRA LTDA</t>
  </si>
  <si>
    <t>45.588.717/0001-34</t>
  </si>
  <si>
    <t>SERAFIM &amp; GUEDES SERVIÇOS DE ODONTOLOGIA LTDA</t>
  </si>
  <si>
    <t>42.544.557/0001-33</t>
  </si>
  <si>
    <t>NF EXTERNO SIMPLES C/ ISS - 3,35%</t>
  </si>
  <si>
    <t>ODONTOMEDIC LTDA</t>
  </si>
  <si>
    <t>13.913.653/0001-03</t>
  </si>
  <si>
    <t>13.913.653/0002-94</t>
  </si>
  <si>
    <t>BRUNA K M CARNEIRO ODONTO MEDICO ME</t>
  </si>
  <si>
    <t>22.622.817/0001-34</t>
  </si>
  <si>
    <t>NF EXTERNO SIMPLES C/ ISS - 2,84%-ITAU</t>
  </si>
  <si>
    <t>JOSINO RADIOLOGIA ODONTOLOGICA LTDA</t>
  </si>
  <si>
    <t>11.165.744/0001-82</t>
  </si>
  <si>
    <t>CLINICA ODONTOLOGICA STYLLO LTDA</t>
  </si>
  <si>
    <t>54.861.777/0001-70</t>
  </si>
  <si>
    <t>VIVA DENTE CLINICA ODONTOLÓGICA LTDA</t>
  </si>
  <si>
    <t>11.420.898/0001-73</t>
  </si>
  <si>
    <t>NF EXTERNO SIMPLES C/ ISS - 2,67%-ITAU</t>
  </si>
  <si>
    <t>COMPANHIA DO SORRISO SAUDE LTDA</t>
  </si>
  <si>
    <t>27.830.303/0001-98</t>
  </si>
  <si>
    <t>NF EXTERNO SIMPLES C/ ISS - 2,01%-BANCO DO BRASIL</t>
  </si>
  <si>
    <t>EC ODONTOLOGIA ESPECIALIZADA LTDA</t>
  </si>
  <si>
    <t>26.857.134/0001-17</t>
  </si>
  <si>
    <t>CONSULTORIO DRA ELIZABETE MARQUES</t>
  </si>
  <si>
    <t>52.981.582/0001-38</t>
  </si>
  <si>
    <t>CONSULTORIO DRA LIVIA VIANA LTDA</t>
  </si>
  <si>
    <t>50.105.012/0001-59</t>
  </si>
  <si>
    <t>CONSULTÓRIO DRA LIVIA VIANA LTDA</t>
  </si>
  <si>
    <t>50.105.012/0002-30</t>
  </si>
  <si>
    <t>MAIA SERVICOS DE ODONTOLOGIA LTDA</t>
  </si>
  <si>
    <t>55.116.469/0001-82</t>
  </si>
  <si>
    <t>JESSICA PAXECO FRANQUINI LTDA</t>
  </si>
  <si>
    <t>46.509.680/0001-74</t>
  </si>
  <si>
    <t>M&amp;V SERVIÇOS DE SAUDE LTDA</t>
  </si>
  <si>
    <t>18.758.043/0001-04</t>
  </si>
  <si>
    <t>NF EXTERNO-BANCO DO BRASIL</t>
  </si>
  <si>
    <t>A M CLINICA ODONTOLOGICA LTDA</t>
  </si>
  <si>
    <t>55.834.990/0001-55</t>
  </si>
  <si>
    <t>GLAILSON SOUSA XIMENES</t>
  </si>
  <si>
    <t>59.872.196/0001-57</t>
  </si>
  <si>
    <t>CONSULTÓRIO ODONTOLÓGICO SORRIA SEMPRE EIRELI-ME</t>
  </si>
  <si>
    <t>22.397.146/0001-55</t>
  </si>
  <si>
    <t>NF EXTERNO SIMPLES C/ ISS - 2,65%-ITAU</t>
  </si>
  <si>
    <t>CUIDARE ODONTOLOGIA ESPECIALIZADA LTDA</t>
  </si>
  <si>
    <t>50.454.811/0001-30</t>
  </si>
  <si>
    <t>ADRIELLE KESSIA RIBEIRO DA SILVA - DENTAL ART - PJ COD(15969) CRO: 12721</t>
  </si>
  <si>
    <t>58.066.271/0001-20</t>
  </si>
  <si>
    <t>PAULO EDELSON DE SOUZA COSTA</t>
  </si>
  <si>
    <t>40.074.094/0001-68</t>
  </si>
  <si>
    <t>DENTALIS ODONTO SERV LTDA</t>
  </si>
  <si>
    <t>41.188.593/0001-49</t>
  </si>
  <si>
    <t>JOEL SOUSA REABILITACAO ORAL LTDA</t>
  </si>
  <si>
    <t>38.598.301/0001-31</t>
  </si>
  <si>
    <t>DRA LUCIANA LIMA NOGUEIRA ODONTOLOGIA</t>
  </si>
  <si>
    <t>48.025.022/0001-32</t>
  </si>
  <si>
    <t>WR ODONTO LTDA</t>
  </si>
  <si>
    <t>48.700.356/0001-64</t>
  </si>
  <si>
    <t>MATOS &amp; MATOS ODONTOLOGIA</t>
  </si>
  <si>
    <t>60.261.361/0001-13</t>
  </si>
  <si>
    <t>ESPACO REVITTALIZE LTDA</t>
  </si>
  <si>
    <t>54.155.810/0001-46</t>
  </si>
  <si>
    <t>CLINICA ODONTOLOGICA THAIS FREIRE LTDA</t>
  </si>
  <si>
    <t>45.081.123/0001-32</t>
  </si>
  <si>
    <t>IMEDIATA ODONTOLOGIA LTDA</t>
  </si>
  <si>
    <t>61.011.861/0001-60</t>
  </si>
  <si>
    <t>F A SILVA SERVICOS DE SAUDE LTDA</t>
  </si>
  <si>
    <t>09.355.755/0001-83</t>
  </si>
  <si>
    <t>LIZIANE VASCONCELOS CARNEIRO</t>
  </si>
  <si>
    <t>47.169.882/0001-87</t>
  </si>
  <si>
    <t>MATOS &amp; FEITOSA ODONTOLOGIA LTDA</t>
  </si>
  <si>
    <t>43.232.310/0001-44</t>
  </si>
  <si>
    <t>A J CLINICA ODONTOLOGICA E MEDICA LTDA</t>
  </si>
  <si>
    <t>29.577.859/0001-40</t>
  </si>
  <si>
    <t>NF EXTERNO SIMPLES C/ ISS - 3,74%-BANCO DO BRASIL</t>
  </si>
  <si>
    <t>MERCIA CIDRACK ODONTOLOGIA LTDA</t>
  </si>
  <si>
    <t>40.371.473/0001-10</t>
  </si>
  <si>
    <t>NAYANE VIEIRA DE SOUSA PIMENTEL COD(82788) CRO: 13580</t>
  </si>
  <si>
    <t>60.589.476/0001-31</t>
  </si>
  <si>
    <t>NAIANA VIEIRA DE OLIVEIRA PAULINO</t>
  </si>
  <si>
    <t>43.454.843/0001-70</t>
  </si>
  <si>
    <t>FRANCISCO WELLINGTON ALMEIDA DO NASCIMENTO - ME</t>
  </si>
  <si>
    <t>18.898.980/0001-57</t>
  </si>
  <si>
    <t>NF EXTERNO SEM ISS - ITAU</t>
  </si>
  <si>
    <t>CLINICA ODONTO ORPAM LTDA</t>
  </si>
  <si>
    <t>57.879.593/0001-25</t>
  </si>
  <si>
    <t>RISUS CLINICA ODONTOLOGICA LTDA</t>
  </si>
  <si>
    <t>10.276.763/0001-13</t>
  </si>
  <si>
    <t>NF EXTERNO-ITAU</t>
  </si>
  <si>
    <t>ODONTO SAUDE LTDA</t>
  </si>
  <si>
    <t>54.880.227/0001-06</t>
  </si>
  <si>
    <t>AIANA R BARBOSA</t>
  </si>
  <si>
    <t>33.072.253/0001-20</t>
  </si>
  <si>
    <t>EMANUELE VASCONCELOS SILVA ME</t>
  </si>
  <si>
    <t>09.381.231/0001-67</t>
  </si>
  <si>
    <t>ODONTOCOMPANY HORIZONTE</t>
  </si>
  <si>
    <t>42.055.427/0001-37</t>
  </si>
  <si>
    <t>CLINICA ODONTOLOGICA ODONTOPERFIL</t>
  </si>
  <si>
    <t>09.076.817/0001-18</t>
  </si>
  <si>
    <t>NF EXTERNO SIMPLES C/ ISS - 2,17%-BANCO DO BRASIL</t>
  </si>
  <si>
    <t>LUIS CARLOS ALVES ARCANJO - ME</t>
  </si>
  <si>
    <t>22.840.903/0001-13</t>
  </si>
  <si>
    <t>ORO CLINIC ODONTOLOGIA LTDA</t>
  </si>
  <si>
    <t>33.767.921/0001-33</t>
  </si>
  <si>
    <t>GRUPO SCARIZA LTDA</t>
  </si>
  <si>
    <t>59.268.448/0001-33</t>
  </si>
  <si>
    <t>A &amp; A SERVICOS ODONTOLOGICOS LTDA</t>
  </si>
  <si>
    <t>46.563.571/0001-35</t>
  </si>
  <si>
    <t>NF EXTERNO SIMPLES C/ ISS - 2,66% - ITAU</t>
  </si>
  <si>
    <t>MICHELLE GONZAGA CAVALCANTI - ME</t>
  </si>
  <si>
    <t>08.962.187/0001-16</t>
  </si>
  <si>
    <t>DANTAS &amp; SOBRINHOS LTDA</t>
  </si>
  <si>
    <t>35.837.803/0001-80</t>
  </si>
  <si>
    <t>POLICLINICA DUVALLE LTDA</t>
  </si>
  <si>
    <t>34.500.725/0001-60</t>
  </si>
  <si>
    <t>CENTRO CLINICO E ODONTOLOGICO C. AMORIM LTDA</t>
  </si>
  <si>
    <t>46.339.226/0001-12</t>
  </si>
  <si>
    <t>A &amp; L CLINICA LTDA</t>
  </si>
  <si>
    <t>45.348.494/0001-38</t>
  </si>
  <si>
    <t>JN RISUS ODONTOLOGIA LTDA</t>
  </si>
  <si>
    <t>49.234.184/0001-43</t>
  </si>
  <si>
    <t>L. JACINTO O. SOUSA LTDA.</t>
  </si>
  <si>
    <t>52.691.242/0001-72</t>
  </si>
  <si>
    <t>SANTE ODONTOLOGIA ESTETICA E CIRURGIA LTDA</t>
  </si>
  <si>
    <t>12.122.390/0001-51</t>
  </si>
  <si>
    <t>L &amp; P CRISOSTOMO &amp; GALVAO ODONTOLOGIA LTDA</t>
  </si>
  <si>
    <t>10.943.212/0001-66</t>
  </si>
  <si>
    <t>ILANIA REIS LAURINDO</t>
  </si>
  <si>
    <t>33.617.018/0001-96</t>
  </si>
  <si>
    <t>SORRIA MAIS SERVIÇOS ODONTOLOGICOS LTDA</t>
  </si>
  <si>
    <t>24.768.718/0001-90</t>
  </si>
  <si>
    <t>CLINICA ODONTOLOGICA MOREIRA E ARAUJO - EPP</t>
  </si>
  <si>
    <t>06.193.047/0001-03</t>
  </si>
  <si>
    <t>SPA BUCAL ODONTOLOGIA LTDA</t>
  </si>
  <si>
    <t>29.690.322/0001-91</t>
  </si>
  <si>
    <t>CLINICA ODONTOLOGICA VEM SORRIR</t>
  </si>
  <si>
    <t>44.876.947/0001-36</t>
  </si>
  <si>
    <t>F. C. M. DE OLIVEIRA &amp; CIA LTDA</t>
  </si>
  <si>
    <t>59.520.764/0001-50</t>
  </si>
  <si>
    <t>YURI JIVAGO PEREIRA CARVALHO SERVIÇOS DE SAUDE</t>
  </si>
  <si>
    <t>36.502.964/0001-85</t>
  </si>
  <si>
    <t>ANTONIO ARAUJO COSTA NETO - ENDODONTIA CLINICO FORTALEZA COD(4524) CRO: 4524</t>
  </si>
  <si>
    <t>52.780.748/0001-58</t>
  </si>
  <si>
    <t>NF INTERNO CLINICO SIMPLES C/ ISS - 2,01%</t>
  </si>
  <si>
    <t>DENTAL CONCEPT CLINICAS ODONTOLOGICAS LTDA</t>
  </si>
  <si>
    <t>50.856.209/0001-20</t>
  </si>
  <si>
    <t>DANIEL BERGER GARCES MOURA DA CRUZ MACEDO ME</t>
  </si>
  <si>
    <t>36.293.329/0001-35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</si>
</sst>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yyyy"/>
    <numFmt numFmtId="165" formatCode="&quot;R$&quot; #,##0.00"/>
    <numFmt numFmtId="166" formatCode="dd/mm/yyyy"/>
  </numFmts>
  <fonts count="5" x14ac:knownFonts="1">
    <font>
      <color theme="1"/>
      <family val="2"/>
      <scheme val="minor"/>
      <sz val="11"/>
      <name val="Calibri"/>
    </font>
    <font>
      <b/>
      <sz val="12"/>
      <name val="Calibri"/>
    </font>
    <font>
      <sz val="10"/>
      <name val="Calibri"/>
    </font>
    <font>
      <b/>
      <sz val="10"/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4" fillId="0" borderId="0" xfId="0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4"/>
  <sheetFormatPr defaultRowHeight="15" outlineLevelRow="0" outlineLevelCol="0" x14ac:dyDescent="55"/>
  <cols>
    <col min="1" max="3" width="11" customWidth="1"/>
    <col min="4" max="5" width="10" customWidth="1"/>
    <col min="6" max="6" width="52" customWidth="1"/>
    <col min="7" max="7" width="8" customWidth="1"/>
    <col min="8" max="8" width="20" customWidth="1"/>
    <col min="9" max="9" width="42" customWidth="1"/>
    <col min="10" max="11" width="14" customWidth="1"/>
    <col min="12" max="12" width="14" hidden="1" customWidth="1"/>
    <col min="13" max="15" width="14" customWidth="1"/>
    <col min="16" max="16" width="10" customWidth="1"/>
    <col min="17" max="19" width="14" customWidth="1"/>
    <col min="20" max="20" width="11" customWidth="1"/>
    <col min="21" max="21" width="14" customWidth="1"/>
    <col min="22" max="23" width="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23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22</v>
      </c>
    </row>
    <row r="4" spans="1:23" x14ac:dyDescent="0.25">
      <c r="A4" s="5">
        <v>46082.125</v>
      </c>
      <c r="B4" s="5">
        <v>46054.125</v>
      </c>
      <c r="C4" s="5">
        <v>46082.125</v>
      </c>
      <c r="D4">
        <v>82840</v>
      </c>
      <c r="E4">
        <v>48036</v>
      </c>
      <c r="F4" t="s">
        <v>24</v>
      </c>
      <c r="G4" t="s">
        <v>25</v>
      </c>
      <c r="H4" t="s">
        <v>26</v>
      </c>
      <c r="I4" t="s">
        <v>27</v>
      </c>
      <c r="J4" s="6">
        <v>1146.8</v>
      </c>
      <c r="K4" s="6">
        <v>0</v>
      </c>
      <c r="L4" s="6">
        <v>0</v>
      </c>
      <c r="M4" s="6">
        <v>1146.8</v>
      </c>
      <c r="N4" s="6">
        <v>75.69</v>
      </c>
      <c r="O4" s="6">
        <v>0</v>
      </c>
      <c r="P4" s="6">
        <v>0</v>
      </c>
      <c r="Q4" s="6">
        <v>1071.11</v>
      </c>
      <c r="R4" s="6">
        <f>M4-N4-O4</f>
      </c>
      <c r="S4" s="6">
        <f>Q4</f>
      </c>
      <c r="T4" s="7">
        <v>46112.125</v>
      </c>
      <c r="U4" s="6">
        <f>M4-N4-O4-P4-Q4</f>
      </c>
      <c r="V4">
        <v>5952</v>
      </c>
      <c r="W4" s="8">
        <v>0.0465</v>
      </c>
    </row>
    <row r="5" spans="1:23" x14ac:dyDescent="0.25">
      <c r="A5" s="5">
        <v>46082.125</v>
      </c>
      <c r="B5" s="5">
        <v>46054.125</v>
      </c>
      <c r="C5" s="5">
        <v>46082.125</v>
      </c>
      <c r="D5">
        <v>16003</v>
      </c>
      <c r="E5">
        <v>48037</v>
      </c>
      <c r="F5" t="s">
        <v>28</v>
      </c>
      <c r="G5" t="s">
        <v>25</v>
      </c>
      <c r="H5" t="s">
        <v>29</v>
      </c>
      <c r="I5" t="s">
        <v>30</v>
      </c>
      <c r="J5" s="6">
        <v>300</v>
      </c>
      <c r="K5" s="6">
        <v>0</v>
      </c>
      <c r="L5" s="6">
        <v>0</v>
      </c>
      <c r="M5" s="6">
        <v>300</v>
      </c>
      <c r="N5" s="6">
        <v>19.8</v>
      </c>
      <c r="O5" s="6">
        <v>0</v>
      </c>
      <c r="P5" s="6">
        <v>0</v>
      </c>
      <c r="Q5" s="6">
        <v>280.2</v>
      </c>
      <c r="R5" s="6">
        <f>M5-N5-O5</f>
      </c>
      <c r="S5" s="6">
        <f>Q5</f>
      </c>
      <c r="T5" s="7">
        <v>46112.125</v>
      </c>
      <c r="U5" s="6">
        <f>M5-N5-O5-P5-Q5</f>
      </c>
      <c r="V5">
        <v>5952</v>
      </c>
      <c r="W5" s="8">
        <v>0.0465</v>
      </c>
    </row>
    <row r="6" spans="1:23" x14ac:dyDescent="0.25">
      <c r="A6" s="5">
        <v>46082.125</v>
      </c>
      <c r="B6" s="5">
        <v>46054.125</v>
      </c>
      <c r="C6" s="5">
        <v>46082.125</v>
      </c>
      <c r="D6">
        <v>8609</v>
      </c>
      <c r="E6">
        <v>48042</v>
      </c>
      <c r="F6" t="s">
        <v>31</v>
      </c>
      <c r="G6" t="s">
        <v>25</v>
      </c>
      <c r="H6" t="s">
        <v>32</v>
      </c>
      <c r="I6" t="s">
        <v>30</v>
      </c>
      <c r="J6" s="6">
        <v>357.25</v>
      </c>
      <c r="K6" s="6">
        <v>19.16</v>
      </c>
      <c r="L6" s="6">
        <v>0</v>
      </c>
      <c r="M6" s="6">
        <v>376.41</v>
      </c>
      <c r="N6" s="6">
        <v>24.84</v>
      </c>
      <c r="O6" s="6">
        <v>0</v>
      </c>
      <c r="P6" s="6">
        <v>0</v>
      </c>
      <c r="Q6" s="6">
        <v>351.57</v>
      </c>
      <c r="R6" s="6">
        <f>M6-N6-O6</f>
      </c>
      <c r="S6" s="6">
        <f>Q6</f>
      </c>
      <c r="T6" s="7">
        <v>46112.125</v>
      </c>
      <c r="U6" s="6">
        <f>M6-N6-O6-P6-Q6</f>
      </c>
      <c r="V6">
        <v>5952</v>
      </c>
      <c r="W6" s="8">
        <v>0.0465</v>
      </c>
    </row>
    <row r="7" spans="1:23" x14ac:dyDescent="0.25">
      <c r="A7" s="5">
        <v>46082.125</v>
      </c>
      <c r="B7" s="5">
        <v>46054.125</v>
      </c>
      <c r="C7" s="5">
        <v>46082.125</v>
      </c>
      <c r="D7">
        <v>9834</v>
      </c>
      <c r="E7">
        <v>48049</v>
      </c>
      <c r="F7" t="s">
        <v>33</v>
      </c>
      <c r="G7" t="s">
        <v>25</v>
      </c>
      <c r="H7" t="s">
        <v>34</v>
      </c>
      <c r="I7" t="s">
        <v>30</v>
      </c>
      <c r="J7" s="6">
        <v>583.53</v>
      </c>
      <c r="K7" s="6">
        <v>0</v>
      </c>
      <c r="L7" s="6">
        <v>0</v>
      </c>
      <c r="M7" s="6">
        <v>583.53</v>
      </c>
      <c r="N7" s="6">
        <v>38.51</v>
      </c>
      <c r="O7" s="6">
        <v>0</v>
      </c>
      <c r="P7" s="6">
        <v>0</v>
      </c>
      <c r="Q7" s="6">
        <v>545.02</v>
      </c>
      <c r="R7" s="6">
        <f>M7-N7-O7</f>
      </c>
      <c r="S7" s="6">
        <f>Q7</f>
      </c>
      <c r="T7" s="7">
        <v>46112.125</v>
      </c>
      <c r="U7" s="6">
        <f>M7-N7-O7-P7-Q7</f>
      </c>
      <c r="V7">
        <v>5952</v>
      </c>
      <c r="W7" s="8">
        <v>0.0465</v>
      </c>
    </row>
    <row r="8" spans="1:23" x14ac:dyDescent="0.25">
      <c r="A8" s="5">
        <v>46082.125</v>
      </c>
      <c r="B8" s="5">
        <v>46054.125</v>
      </c>
      <c r="C8" s="5">
        <v>46082.125</v>
      </c>
      <c r="D8">
        <v>8802</v>
      </c>
      <c r="E8">
        <v>48050</v>
      </c>
      <c r="F8" t="s">
        <v>35</v>
      </c>
      <c r="G8" t="s">
        <v>25</v>
      </c>
      <c r="H8" t="s">
        <v>36</v>
      </c>
      <c r="I8" t="s">
        <v>30</v>
      </c>
      <c r="J8" s="6">
        <v>2044.78</v>
      </c>
      <c r="K8" s="6">
        <v>0</v>
      </c>
      <c r="L8" s="6">
        <v>0</v>
      </c>
      <c r="M8" s="6">
        <v>2044.78</v>
      </c>
      <c r="N8" s="6">
        <v>134.96</v>
      </c>
      <c r="O8" s="6">
        <v>0</v>
      </c>
      <c r="P8" s="6">
        <v>0</v>
      </c>
      <c r="Q8" s="6">
        <v>1909.82</v>
      </c>
      <c r="R8" s="6">
        <f>M8-N8-O8</f>
      </c>
      <c r="S8" s="6">
        <f>Q8</f>
      </c>
      <c r="T8" s="7">
        <v>46112.125</v>
      </c>
      <c r="U8" s="6">
        <f>M8-N8-O8-P8-Q8</f>
      </c>
      <c r="V8">
        <v>5952</v>
      </c>
      <c r="W8" s="8">
        <v>0.0465</v>
      </c>
    </row>
    <row r="9" spans="1:23" x14ac:dyDescent="0.25">
      <c r="A9" s="5">
        <v>46082.125</v>
      </c>
      <c r="B9" s="5">
        <v>46054.125</v>
      </c>
      <c r="C9" s="5">
        <v>46082.125</v>
      </c>
      <c r="D9">
        <v>15533</v>
      </c>
      <c r="E9">
        <v>48051</v>
      </c>
      <c r="F9" t="s">
        <v>37</v>
      </c>
      <c r="G9" t="s">
        <v>25</v>
      </c>
      <c r="H9" t="s">
        <v>38</v>
      </c>
      <c r="I9" t="s">
        <v>27</v>
      </c>
      <c r="J9" s="6">
        <v>6596.34</v>
      </c>
      <c r="K9" s="6">
        <v>449.7</v>
      </c>
      <c r="L9" s="6">
        <v>0</v>
      </c>
      <c r="M9" s="6">
        <v>7046.04</v>
      </c>
      <c r="N9" s="6">
        <v>465.04</v>
      </c>
      <c r="O9" s="6">
        <v>0</v>
      </c>
      <c r="P9" s="6">
        <v>896.92</v>
      </c>
      <c r="Q9" s="6">
        <v>5684.08</v>
      </c>
      <c r="R9" s="6">
        <f>M9-N9-O9</f>
      </c>
      <c r="S9" s="6">
        <f>Q9</f>
      </c>
      <c r="T9" s="7">
        <v>46112.125</v>
      </c>
      <c r="U9" s="6">
        <f>M9-N9-O9-P9-Q9</f>
      </c>
      <c r="V9">
        <v>5952</v>
      </c>
      <c r="W9" s="8">
        <v>0.0465</v>
      </c>
    </row>
    <row r="10" spans="1:23" x14ac:dyDescent="0.25">
      <c r="A10" s="5">
        <v>46082.125</v>
      </c>
      <c r="B10" s="5">
        <v>46054.125</v>
      </c>
      <c r="C10" s="5">
        <v>46082.125</v>
      </c>
      <c r="D10">
        <v>9422</v>
      </c>
      <c r="E10">
        <v>48052</v>
      </c>
      <c r="F10" t="s">
        <v>39</v>
      </c>
      <c r="G10" t="s">
        <v>25</v>
      </c>
      <c r="H10" t="s">
        <v>40</v>
      </c>
      <c r="I10" t="s">
        <v>41</v>
      </c>
      <c r="J10" s="6">
        <v>462.93</v>
      </c>
      <c r="K10" s="6">
        <v>0</v>
      </c>
      <c r="L10" s="6">
        <v>0</v>
      </c>
      <c r="M10" s="6">
        <v>462.93</v>
      </c>
      <c r="N10" s="6">
        <v>30.55</v>
      </c>
      <c r="O10" s="6">
        <v>9.26</v>
      </c>
      <c r="P10" s="6">
        <v>0</v>
      </c>
      <c r="Q10" s="6">
        <v>423.12</v>
      </c>
      <c r="R10" s="6">
        <f>M10-N10-O10</f>
      </c>
      <c r="S10" s="6">
        <f>Q10</f>
      </c>
      <c r="T10" s="7">
        <v>46112.125</v>
      </c>
      <c r="U10" s="6">
        <f>M10-N10-O10-P10-Q10</f>
      </c>
      <c r="V10">
        <v>5952</v>
      </c>
      <c r="W10" s="8">
        <v>0.0465</v>
      </c>
    </row>
    <row r="11" spans="1:23" x14ac:dyDescent="0.25">
      <c r="A11" s="5">
        <v>46082.125</v>
      </c>
      <c r="B11" s="5">
        <v>46054.125</v>
      </c>
      <c r="C11" s="5">
        <v>46082.125</v>
      </c>
      <c r="D11">
        <v>15337</v>
      </c>
      <c r="E11">
        <v>48054</v>
      </c>
      <c r="F11" t="s">
        <v>42</v>
      </c>
      <c r="G11" t="s">
        <v>25</v>
      </c>
      <c r="H11" t="s">
        <v>43</v>
      </c>
      <c r="I11" t="s">
        <v>27</v>
      </c>
      <c r="J11" s="6">
        <v>578.72</v>
      </c>
      <c r="K11" s="6">
        <v>51.7</v>
      </c>
      <c r="L11" s="6">
        <v>0</v>
      </c>
      <c r="M11" s="6">
        <v>630.42</v>
      </c>
      <c r="N11" s="6">
        <v>41.61</v>
      </c>
      <c r="O11" s="6">
        <v>0</v>
      </c>
      <c r="P11" s="6">
        <v>0</v>
      </c>
      <c r="Q11" s="6">
        <v>588.81</v>
      </c>
      <c r="R11" s="6">
        <f>M11-N11-O11</f>
      </c>
      <c r="S11" s="6">
        <f>Q11</f>
      </c>
      <c r="T11" s="7">
        <v>46112.125</v>
      </c>
      <c r="U11" s="6">
        <f>M11-N11-O11-P11-Q11</f>
      </c>
      <c r="V11">
        <v>5952</v>
      </c>
      <c r="W11" s="8">
        <v>0.0465</v>
      </c>
    </row>
    <row r="12" spans="1:23" x14ac:dyDescent="0.25">
      <c r="A12" s="5">
        <v>46082.125</v>
      </c>
      <c r="B12" s="5">
        <v>46054.125</v>
      </c>
      <c r="C12" s="5">
        <v>46082.125</v>
      </c>
      <c r="D12">
        <v>82888</v>
      </c>
      <c r="E12">
        <v>48055</v>
      </c>
      <c r="F12" t="s">
        <v>44</v>
      </c>
      <c r="G12" t="s">
        <v>25</v>
      </c>
      <c r="H12" t="s">
        <v>45</v>
      </c>
      <c r="I12" t="s">
        <v>27</v>
      </c>
      <c r="J12" s="6">
        <v>502.52</v>
      </c>
      <c r="K12" s="6">
        <v>81.36</v>
      </c>
      <c r="L12" s="6">
        <v>0</v>
      </c>
      <c r="M12" s="6">
        <v>583.88</v>
      </c>
      <c r="N12" s="6">
        <v>38.54</v>
      </c>
      <c r="O12" s="6">
        <v>0</v>
      </c>
      <c r="P12" s="6">
        <v>0</v>
      </c>
      <c r="Q12" s="6">
        <v>545.34</v>
      </c>
      <c r="R12" s="6">
        <f>M12-N12-O12</f>
      </c>
      <c r="S12" s="6">
        <f>Q12</f>
      </c>
      <c r="T12" s="7">
        <v>46112.125</v>
      </c>
      <c r="U12" s="6">
        <f>M12-N12-O12-P12-Q12</f>
      </c>
      <c r="V12">
        <v>5952</v>
      </c>
      <c r="W12" s="8">
        <v>0.0465</v>
      </c>
    </row>
    <row r="13" spans="1:23" x14ac:dyDescent="0.25">
      <c r="A13" s="5">
        <v>46082.125</v>
      </c>
      <c r="B13" s="5">
        <v>46054.125</v>
      </c>
      <c r="C13" s="5">
        <v>46082.125</v>
      </c>
      <c r="D13">
        <v>14672</v>
      </c>
      <c r="E13">
        <v>48063</v>
      </c>
      <c r="F13" t="s">
        <v>46</v>
      </c>
      <c r="G13" t="s">
        <v>25</v>
      </c>
      <c r="H13" t="s">
        <v>47</v>
      </c>
      <c r="I13" t="s">
        <v>27</v>
      </c>
      <c r="J13" s="6">
        <v>960</v>
      </c>
      <c r="K13" s="6">
        <v>0</v>
      </c>
      <c r="L13" s="6">
        <v>0</v>
      </c>
      <c r="M13" s="6">
        <v>960</v>
      </c>
      <c r="N13" s="6">
        <v>63.36</v>
      </c>
      <c r="O13" s="6">
        <v>0</v>
      </c>
      <c r="P13" s="6">
        <v>0</v>
      </c>
      <c r="Q13" s="6">
        <v>896.64</v>
      </c>
      <c r="R13" s="6">
        <f>M13-N13-O13</f>
      </c>
      <c r="S13" s="6">
        <f>Q13</f>
      </c>
      <c r="T13" s="7">
        <v>46112.125</v>
      </c>
      <c r="U13" s="6">
        <f>M13-N13-O13-P13-Q13</f>
      </c>
      <c r="V13">
        <v>5952</v>
      </c>
      <c r="W13" s="8">
        <v>0.0465</v>
      </c>
    </row>
    <row r="14" spans="1:23" x14ac:dyDescent="0.25">
      <c r="A14" s="5">
        <v>46082.125</v>
      </c>
      <c r="B14" s="5">
        <v>46054.125</v>
      </c>
      <c r="C14" s="5">
        <v>46082.125</v>
      </c>
      <c r="D14">
        <v>9041</v>
      </c>
      <c r="E14">
        <v>48065</v>
      </c>
      <c r="F14" t="s">
        <v>48</v>
      </c>
      <c r="G14" t="s">
        <v>25</v>
      </c>
      <c r="H14" t="s">
        <v>49</v>
      </c>
      <c r="I14" t="s">
        <v>30</v>
      </c>
      <c r="J14" s="6">
        <v>31.65</v>
      </c>
      <c r="K14" s="6">
        <v>0</v>
      </c>
      <c r="L14" s="6">
        <v>0</v>
      </c>
      <c r="M14" s="6">
        <v>31.65</v>
      </c>
      <c r="N14" s="6">
        <v>2.09</v>
      </c>
      <c r="O14" s="6">
        <v>0</v>
      </c>
      <c r="P14" s="6">
        <v>0</v>
      </c>
      <c r="Q14" s="6">
        <v>29.56</v>
      </c>
      <c r="R14" s="6">
        <f>M14-N14-O14</f>
      </c>
      <c r="S14" s="6">
        <f>Q14</f>
      </c>
      <c r="T14" s="7">
        <v>46112.125</v>
      </c>
      <c r="U14" s="6">
        <f>M14-N14-O14-P14-Q14</f>
      </c>
      <c r="V14">
        <v>5952</v>
      </c>
      <c r="W14" s="8">
        <v>0.0465</v>
      </c>
    </row>
    <row r="15" spans="1:23" x14ac:dyDescent="0.25">
      <c r="A15" s="5">
        <v>46082.125</v>
      </c>
      <c r="B15" s="5">
        <v>46054.125</v>
      </c>
      <c r="C15" s="5">
        <v>46082.125</v>
      </c>
      <c r="D15">
        <v>15785</v>
      </c>
      <c r="E15">
        <v>48066</v>
      </c>
      <c r="F15" t="s">
        <v>50</v>
      </c>
      <c r="G15" t="s">
        <v>25</v>
      </c>
      <c r="H15" t="s">
        <v>51</v>
      </c>
      <c r="I15" t="s">
        <v>30</v>
      </c>
      <c r="J15" s="6">
        <v>673.58</v>
      </c>
      <c r="K15" s="6">
        <v>0</v>
      </c>
      <c r="L15" s="6">
        <v>0</v>
      </c>
      <c r="M15" s="6">
        <v>673.58</v>
      </c>
      <c r="N15" s="6">
        <v>44.46</v>
      </c>
      <c r="O15" s="6">
        <v>0</v>
      </c>
      <c r="P15" s="6">
        <v>0</v>
      </c>
      <c r="Q15" s="6">
        <v>629.12</v>
      </c>
      <c r="R15" s="6">
        <f>M15-N15-O15</f>
      </c>
      <c r="S15" s="6">
        <f>Q15</f>
      </c>
      <c r="T15" s="7">
        <v>46112.125</v>
      </c>
      <c r="U15" s="6">
        <f>M15-N15-O15-P15-Q15</f>
      </c>
      <c r="V15">
        <v>5952</v>
      </c>
      <c r="W15" s="8">
        <v>0.0465</v>
      </c>
    </row>
    <row r="16" spans="1:23" x14ac:dyDescent="0.25">
      <c r="A16" s="5">
        <v>46082.125</v>
      </c>
      <c r="B16" s="5">
        <v>46054.125</v>
      </c>
      <c r="C16" s="5">
        <v>46082.125</v>
      </c>
      <c r="D16">
        <v>2020</v>
      </c>
      <c r="E16">
        <v>48067</v>
      </c>
      <c r="F16" t="s">
        <v>52</v>
      </c>
      <c r="G16" t="s">
        <v>25</v>
      </c>
      <c r="H16" t="s">
        <v>53</v>
      </c>
      <c r="I16" t="s">
        <v>30</v>
      </c>
      <c r="J16" s="6">
        <v>3113.33</v>
      </c>
      <c r="K16" s="6">
        <v>0</v>
      </c>
      <c r="L16" s="6">
        <v>0</v>
      </c>
      <c r="M16" s="6">
        <v>3113.33</v>
      </c>
      <c r="N16" s="6">
        <v>205.48</v>
      </c>
      <c r="O16" s="6">
        <v>0</v>
      </c>
      <c r="P16" s="6">
        <v>0</v>
      </c>
      <c r="Q16" s="6">
        <v>2907.85</v>
      </c>
      <c r="R16" s="6">
        <f>M16-N16-O16</f>
      </c>
      <c r="S16" s="6">
        <f>Q16</f>
      </c>
      <c r="T16" s="7">
        <v>46112.125</v>
      </c>
      <c r="U16" s="6">
        <f>M16-N16-O16-P16-Q16</f>
      </c>
      <c r="V16">
        <v>5952</v>
      </c>
      <c r="W16" s="8">
        <v>0.0465</v>
      </c>
    </row>
    <row r="17" spans="1:23" x14ac:dyDescent="0.25">
      <c r="A17" s="5">
        <v>46082.125</v>
      </c>
      <c r="B17" s="5">
        <v>46054.125</v>
      </c>
      <c r="C17" s="5">
        <v>46082.125</v>
      </c>
      <c r="D17">
        <v>2017</v>
      </c>
      <c r="E17">
        <v>48074</v>
      </c>
      <c r="F17" t="s">
        <v>54</v>
      </c>
      <c r="G17" t="s">
        <v>25</v>
      </c>
      <c r="H17" t="s">
        <v>55</v>
      </c>
      <c r="I17" t="s">
        <v>27</v>
      </c>
      <c r="J17" s="6">
        <v>4534.34</v>
      </c>
      <c r="K17" s="6">
        <v>259.48</v>
      </c>
      <c r="L17" s="6">
        <v>0</v>
      </c>
      <c r="M17" s="6">
        <v>4793.82</v>
      </c>
      <c r="N17" s="6">
        <v>316.39</v>
      </c>
      <c r="O17" s="6">
        <v>0</v>
      </c>
      <c r="P17" s="6">
        <v>22.49</v>
      </c>
      <c r="Q17" s="6">
        <v>4454.94</v>
      </c>
      <c r="R17" s="6">
        <f>M17-N17-O17</f>
      </c>
      <c r="S17" s="6">
        <f>Q17</f>
      </c>
      <c r="T17" s="7">
        <v>46112.125</v>
      </c>
      <c r="U17" s="6">
        <f>M17-N17-O17-P17-Q17</f>
      </c>
      <c r="V17">
        <v>5952</v>
      </c>
      <c r="W17" s="8">
        <v>0.0465</v>
      </c>
    </row>
    <row r="18" spans="1:23" x14ac:dyDescent="0.25">
      <c r="A18" s="5">
        <v>46082.125</v>
      </c>
      <c r="B18" s="5">
        <v>46054.125</v>
      </c>
      <c r="C18" s="5">
        <v>46082.125</v>
      </c>
      <c r="D18">
        <v>8211</v>
      </c>
      <c r="E18">
        <v>48075</v>
      </c>
      <c r="F18" t="s">
        <v>56</v>
      </c>
      <c r="G18" t="s">
        <v>25</v>
      </c>
      <c r="H18" t="s">
        <v>57</v>
      </c>
      <c r="I18" t="s">
        <v>27</v>
      </c>
      <c r="J18" s="6">
        <v>699.7</v>
      </c>
      <c r="K18" s="6">
        <v>111</v>
      </c>
      <c r="L18" s="6">
        <v>0</v>
      </c>
      <c r="M18" s="6">
        <v>810.7</v>
      </c>
      <c r="N18" s="6">
        <v>53.51</v>
      </c>
      <c r="O18" s="6">
        <v>0</v>
      </c>
      <c r="P18" s="6">
        <v>0</v>
      </c>
      <c r="Q18" s="6">
        <v>757.19</v>
      </c>
      <c r="R18" s="6">
        <f>M18-N18-O18</f>
      </c>
      <c r="S18" s="6">
        <f>Q18</f>
      </c>
      <c r="T18" s="7">
        <v>46112.125</v>
      </c>
      <c r="U18" s="6">
        <f>M18-N18-O18-P18-Q18</f>
      </c>
      <c r="V18">
        <v>5952</v>
      </c>
      <c r="W18" s="8">
        <v>0.0465</v>
      </c>
    </row>
    <row r="19" spans="1:23" x14ac:dyDescent="0.25">
      <c r="A19" s="5">
        <v>46082.125</v>
      </c>
      <c r="B19" s="5">
        <v>46054.125</v>
      </c>
      <c r="C19" s="5">
        <v>46082.125</v>
      </c>
      <c r="D19">
        <v>9660</v>
      </c>
      <c r="E19">
        <v>48076</v>
      </c>
      <c r="F19" t="s">
        <v>58</v>
      </c>
      <c r="G19" t="s">
        <v>25</v>
      </c>
      <c r="H19" t="s">
        <v>59</v>
      </c>
      <c r="I19" t="s">
        <v>30</v>
      </c>
      <c r="J19" s="6">
        <v>202.87</v>
      </c>
      <c r="K19" s="6">
        <v>61.87</v>
      </c>
      <c r="L19" s="6">
        <v>0</v>
      </c>
      <c r="M19" s="6">
        <v>264.74</v>
      </c>
      <c r="N19" s="6">
        <v>17.47</v>
      </c>
      <c r="O19" s="6">
        <v>0</v>
      </c>
      <c r="P19" s="6">
        <v>0</v>
      </c>
      <c r="Q19" s="6">
        <v>247.27</v>
      </c>
      <c r="R19" s="6">
        <f>M19-N19-O19</f>
      </c>
      <c r="S19" s="6">
        <f>Q19</f>
      </c>
      <c r="T19" s="7">
        <v>46112.125</v>
      </c>
      <c r="U19" s="6">
        <f>M19-N19-O19-P19-Q19</f>
      </c>
      <c r="V19">
        <v>5952</v>
      </c>
      <c r="W19" s="8">
        <v>0.0465</v>
      </c>
    </row>
    <row r="20" spans="1:23" x14ac:dyDescent="0.25">
      <c r="A20" s="5">
        <v>46082.125</v>
      </c>
      <c r="B20" s="5">
        <v>46054.125</v>
      </c>
      <c r="C20" s="5">
        <v>46082.125</v>
      </c>
      <c r="D20">
        <v>10002</v>
      </c>
      <c r="E20">
        <v>48078</v>
      </c>
      <c r="F20" t="s">
        <v>60</v>
      </c>
      <c r="G20" t="s">
        <v>25</v>
      </c>
      <c r="H20" t="s">
        <v>61</v>
      </c>
      <c r="I20" t="s">
        <v>27</v>
      </c>
      <c r="J20" s="6">
        <v>36.38</v>
      </c>
      <c r="K20" s="6">
        <v>0</v>
      </c>
      <c r="L20" s="6">
        <v>0</v>
      </c>
      <c r="M20" s="6">
        <v>36.38</v>
      </c>
      <c r="N20" s="6">
        <v>2.4</v>
      </c>
      <c r="O20" s="6">
        <v>0</v>
      </c>
      <c r="P20" s="6">
        <v>0</v>
      </c>
      <c r="Q20" s="6">
        <v>33.98</v>
      </c>
      <c r="R20" s="6">
        <f>M20-N20-O20</f>
      </c>
      <c r="S20" s="6">
        <f>Q20</f>
      </c>
      <c r="T20" s="7">
        <v>46112.125</v>
      </c>
      <c r="U20" s="6">
        <f>M20-N20-O20-P20-Q20</f>
      </c>
      <c r="V20">
        <v>5952</v>
      </c>
      <c r="W20" s="8">
        <v>0.0465</v>
      </c>
    </row>
    <row r="21" spans="1:23" x14ac:dyDescent="0.25">
      <c r="A21" s="5">
        <v>46082.125</v>
      </c>
      <c r="B21" s="5">
        <v>46054.125</v>
      </c>
      <c r="C21" s="5">
        <v>46082.125</v>
      </c>
      <c r="D21">
        <v>15088</v>
      </c>
      <c r="E21">
        <v>48079</v>
      </c>
      <c r="F21" t="s">
        <v>62</v>
      </c>
      <c r="G21" t="s">
        <v>25</v>
      </c>
      <c r="H21" t="s">
        <v>63</v>
      </c>
      <c r="I21" t="s">
        <v>64</v>
      </c>
      <c r="J21" s="6">
        <v>2534.42</v>
      </c>
      <c r="K21" s="6">
        <v>2172.12</v>
      </c>
      <c r="L21" s="6">
        <v>0</v>
      </c>
      <c r="M21" s="6">
        <v>4706.54</v>
      </c>
      <c r="N21" s="6">
        <v>310.63</v>
      </c>
      <c r="O21" s="6">
        <v>94.13</v>
      </c>
      <c r="P21" s="6">
        <v>2.85</v>
      </c>
      <c r="Q21" s="6">
        <v>4298.93</v>
      </c>
      <c r="R21" s="6">
        <f>M21-N21-O21</f>
      </c>
      <c r="S21" s="6">
        <f>Q21</f>
      </c>
      <c r="T21" s="7">
        <v>46112.125</v>
      </c>
      <c r="U21" s="6">
        <f>M21-N21-O21-P21-Q21</f>
      </c>
      <c r="V21">
        <v>5952</v>
      </c>
      <c r="W21" s="8">
        <v>0.0465</v>
      </c>
    </row>
    <row r="22" spans="1:23" x14ac:dyDescent="0.25">
      <c r="A22" s="5">
        <v>46082.125</v>
      </c>
      <c r="B22" s="5">
        <v>46054.125</v>
      </c>
      <c r="C22" s="5">
        <v>46082.125</v>
      </c>
      <c r="D22">
        <v>82890</v>
      </c>
      <c r="E22">
        <v>48081</v>
      </c>
      <c r="F22" t="s">
        <v>65</v>
      </c>
      <c r="G22" t="s">
        <v>25</v>
      </c>
      <c r="H22" t="s">
        <v>66</v>
      </c>
      <c r="I22" t="s">
        <v>30</v>
      </c>
      <c r="J22" s="6">
        <v>1792.2</v>
      </c>
      <c r="K22" s="6">
        <v>0</v>
      </c>
      <c r="L22" s="6">
        <v>0</v>
      </c>
      <c r="M22" s="6">
        <v>1792.2</v>
      </c>
      <c r="N22" s="6">
        <v>118.29</v>
      </c>
      <c r="O22" s="6">
        <v>0</v>
      </c>
      <c r="P22" s="6">
        <v>0</v>
      </c>
      <c r="Q22" s="6">
        <v>1673.91</v>
      </c>
      <c r="R22" s="6">
        <f>M22-N22-O22</f>
      </c>
      <c r="S22" s="6">
        <f>Q22</f>
      </c>
      <c r="T22" s="7">
        <v>46112.125</v>
      </c>
      <c r="U22" s="6">
        <f>M22-N22-O22-P22-Q22</f>
      </c>
      <c r="V22">
        <v>5952</v>
      </c>
      <c r="W22" s="8">
        <v>0.0465</v>
      </c>
    </row>
    <row r="23" spans="1:23" x14ac:dyDescent="0.25">
      <c r="A23" s="5">
        <v>46082.125</v>
      </c>
      <c r="B23" s="5">
        <v>46054.125</v>
      </c>
      <c r="C23" s="5">
        <v>46082.125</v>
      </c>
      <c r="D23">
        <v>3772</v>
      </c>
      <c r="E23">
        <v>48082</v>
      </c>
      <c r="F23" t="s">
        <v>67</v>
      </c>
      <c r="G23" t="s">
        <v>25</v>
      </c>
      <c r="H23" t="s">
        <v>68</v>
      </c>
      <c r="I23" t="s">
        <v>27</v>
      </c>
      <c r="J23" s="6">
        <v>303.72</v>
      </c>
      <c r="K23" s="6">
        <v>475.22</v>
      </c>
      <c r="L23" s="6">
        <v>0</v>
      </c>
      <c r="M23" s="6">
        <v>778.94</v>
      </c>
      <c r="N23" s="6">
        <v>51.41</v>
      </c>
      <c r="O23" s="6">
        <v>0</v>
      </c>
      <c r="P23" s="6">
        <v>0</v>
      </c>
      <c r="Q23" s="6">
        <v>727.53</v>
      </c>
      <c r="R23" s="6">
        <f>M23-N23-O23</f>
      </c>
      <c r="S23" s="6">
        <f>Q23</f>
      </c>
      <c r="T23" s="7">
        <v>46112.125</v>
      </c>
      <c r="U23" s="6">
        <f>M23-N23-O23-P23-Q23</f>
      </c>
      <c r="V23">
        <v>5952</v>
      </c>
      <c r="W23" s="8">
        <v>0.0465</v>
      </c>
    </row>
    <row r="24" spans="1:23" x14ac:dyDescent="0.25">
      <c r="A24" s="5">
        <v>46082.125</v>
      </c>
      <c r="B24" s="5">
        <v>46054.125</v>
      </c>
      <c r="C24" s="5">
        <v>46082.125</v>
      </c>
      <c r="D24">
        <v>14671</v>
      </c>
      <c r="E24">
        <v>48083</v>
      </c>
      <c r="F24" t="s">
        <v>69</v>
      </c>
      <c r="G24" t="s">
        <v>25</v>
      </c>
      <c r="H24" t="s">
        <v>70</v>
      </c>
      <c r="I24" t="s">
        <v>30</v>
      </c>
      <c r="J24" s="6">
        <v>7786.72</v>
      </c>
      <c r="K24" s="6">
        <v>1734.03</v>
      </c>
      <c r="L24" s="6">
        <v>0</v>
      </c>
      <c r="M24" s="6">
        <v>9520.75</v>
      </c>
      <c r="N24" s="6">
        <v>628.37</v>
      </c>
      <c r="O24" s="6">
        <v>0</v>
      </c>
      <c r="P24" s="6">
        <v>1576.04</v>
      </c>
      <c r="Q24" s="6">
        <v>7316.34</v>
      </c>
      <c r="R24" s="6">
        <f>M24-N24-O24</f>
      </c>
      <c r="S24" s="6">
        <f>Q24</f>
      </c>
      <c r="T24" s="7">
        <v>46112.125</v>
      </c>
      <c r="U24" s="6">
        <f>M24-N24-O24-P24-Q24</f>
      </c>
      <c r="V24">
        <v>5952</v>
      </c>
      <c r="W24" s="8">
        <v>0.0465</v>
      </c>
    </row>
    <row r="25" spans="1:23" x14ac:dyDescent="0.25">
      <c r="A25" s="5">
        <v>46082.125</v>
      </c>
      <c r="B25" s="5">
        <v>46054.125</v>
      </c>
      <c r="C25" s="5">
        <v>46082.125</v>
      </c>
      <c r="D25">
        <v>14751</v>
      </c>
      <c r="E25">
        <v>48088</v>
      </c>
      <c r="F25" t="s">
        <v>71</v>
      </c>
      <c r="G25" t="s">
        <v>25</v>
      </c>
      <c r="H25" t="s">
        <v>72</v>
      </c>
      <c r="I25" t="s">
        <v>30</v>
      </c>
      <c r="J25" s="6">
        <v>961.42</v>
      </c>
      <c r="K25" s="6">
        <v>116.79</v>
      </c>
      <c r="L25" s="6">
        <v>0</v>
      </c>
      <c r="M25" s="6">
        <v>1078.21</v>
      </c>
      <c r="N25" s="6">
        <v>71.16</v>
      </c>
      <c r="O25" s="6">
        <v>0</v>
      </c>
      <c r="P25" s="6">
        <v>0</v>
      </c>
      <c r="Q25" s="6">
        <v>1007.05</v>
      </c>
      <c r="R25" s="6">
        <f>M25-N25-O25</f>
      </c>
      <c r="S25" s="6">
        <f>Q25</f>
      </c>
      <c r="T25" s="7">
        <v>46112.125</v>
      </c>
      <c r="U25" s="6">
        <f>M25-N25-O25-P25-Q25</f>
      </c>
      <c r="V25">
        <v>5952</v>
      </c>
      <c r="W25" s="8">
        <v>0.0465</v>
      </c>
    </row>
    <row r="26" spans="1:23" x14ac:dyDescent="0.25">
      <c r="A26" s="5">
        <v>46082.125</v>
      </c>
      <c r="B26" s="5">
        <v>46054.125</v>
      </c>
      <c r="C26" s="5">
        <v>46082.125</v>
      </c>
      <c r="D26">
        <v>82880</v>
      </c>
      <c r="E26">
        <v>48099</v>
      </c>
      <c r="F26" t="s">
        <v>73</v>
      </c>
      <c r="G26" t="s">
        <v>25</v>
      </c>
      <c r="H26" t="s">
        <v>74</v>
      </c>
      <c r="I26" t="s">
        <v>30</v>
      </c>
      <c r="J26" s="6">
        <v>747.14</v>
      </c>
      <c r="K26" s="6">
        <v>0</v>
      </c>
      <c r="L26" s="6">
        <v>0</v>
      </c>
      <c r="M26" s="6">
        <v>747.14</v>
      </c>
      <c r="N26" s="6">
        <v>49.31</v>
      </c>
      <c r="O26" s="6">
        <v>0</v>
      </c>
      <c r="P26" s="6">
        <v>0</v>
      </c>
      <c r="Q26" s="6">
        <v>697.83</v>
      </c>
      <c r="R26" s="6">
        <f>M26-N26-O26</f>
      </c>
      <c r="S26" s="6">
        <f>Q26</f>
      </c>
      <c r="T26" s="7">
        <v>46112.125</v>
      </c>
      <c r="U26" s="6">
        <f>M26-N26-O26-P26-Q26</f>
      </c>
      <c r="V26">
        <v>5952</v>
      </c>
      <c r="W26" s="8">
        <v>0.0465</v>
      </c>
    </row>
    <row r="27" spans="1:23" x14ac:dyDescent="0.25">
      <c r="A27" s="5">
        <v>46082.125</v>
      </c>
      <c r="B27" s="5">
        <v>46054.125</v>
      </c>
      <c r="C27" s="5">
        <v>46082.125</v>
      </c>
      <c r="D27">
        <v>82808</v>
      </c>
      <c r="E27">
        <v>48100</v>
      </c>
      <c r="F27" t="s">
        <v>75</v>
      </c>
      <c r="G27" t="s">
        <v>25</v>
      </c>
      <c r="H27" t="s">
        <v>76</v>
      </c>
      <c r="I27" t="s">
        <v>64</v>
      </c>
      <c r="J27" s="6">
        <v>598.5</v>
      </c>
      <c r="K27" s="6">
        <v>94.5</v>
      </c>
      <c r="L27" s="6">
        <v>0</v>
      </c>
      <c r="M27" s="6">
        <v>693</v>
      </c>
      <c r="N27" s="6">
        <v>45.74</v>
      </c>
      <c r="O27" s="6">
        <v>13.86</v>
      </c>
      <c r="P27" s="6">
        <v>0</v>
      </c>
      <c r="Q27" s="6">
        <v>633.4</v>
      </c>
      <c r="R27" s="6">
        <f>M27-N27-O27</f>
      </c>
      <c r="S27" s="6">
        <f>Q27</f>
      </c>
      <c r="T27" s="7">
        <v>46112.125</v>
      </c>
      <c r="U27" s="6">
        <f>M27-N27-O27-P27-Q27</f>
      </c>
      <c r="V27">
        <v>5952</v>
      </c>
      <c r="W27" s="8">
        <v>0.0465</v>
      </c>
    </row>
    <row r="28" spans="1:23" x14ac:dyDescent="0.25">
      <c r="A28" s="5">
        <v>46082.125</v>
      </c>
      <c r="B28" s="5">
        <v>46054.125</v>
      </c>
      <c r="C28" s="5">
        <v>46082.125</v>
      </c>
      <c r="D28">
        <v>15604</v>
      </c>
      <c r="E28">
        <v>48104</v>
      </c>
      <c r="F28" t="s">
        <v>77</v>
      </c>
      <c r="G28" t="s">
        <v>25</v>
      </c>
      <c r="H28" t="s">
        <v>78</v>
      </c>
      <c r="I28" t="s">
        <v>30</v>
      </c>
      <c r="J28" s="6">
        <v>188.74</v>
      </c>
      <c r="K28" s="6">
        <v>193.32</v>
      </c>
      <c r="L28" s="6">
        <v>0</v>
      </c>
      <c r="M28" s="6">
        <v>382.06</v>
      </c>
      <c r="N28" s="6">
        <v>25.22</v>
      </c>
      <c r="O28" s="6">
        <v>0</v>
      </c>
      <c r="P28" s="6">
        <v>0</v>
      </c>
      <c r="Q28" s="6">
        <v>356.84</v>
      </c>
      <c r="R28" s="6">
        <f>M28-N28-O28</f>
      </c>
      <c r="S28" s="6">
        <f>Q28</f>
      </c>
      <c r="T28" s="7">
        <v>46112.125</v>
      </c>
      <c r="U28" s="6">
        <f>M28-N28-O28-P28-Q28</f>
      </c>
      <c r="V28">
        <v>5952</v>
      </c>
      <c r="W28" s="8">
        <v>0.0465</v>
      </c>
    </row>
    <row r="29" spans="1:23" x14ac:dyDescent="0.25">
      <c r="A29" s="5">
        <v>46082.125</v>
      </c>
      <c r="B29" s="5">
        <v>46054.125</v>
      </c>
      <c r="C29" s="5">
        <v>46082.125</v>
      </c>
      <c r="D29">
        <v>8749</v>
      </c>
      <c r="E29">
        <v>48109</v>
      </c>
      <c r="F29" t="s">
        <v>79</v>
      </c>
      <c r="G29" t="s">
        <v>25</v>
      </c>
      <c r="H29" t="s">
        <v>80</v>
      </c>
      <c r="I29" t="s">
        <v>30</v>
      </c>
      <c r="J29" s="6">
        <v>3563.82</v>
      </c>
      <c r="K29" s="6">
        <v>810.15</v>
      </c>
      <c r="L29" s="6">
        <v>0</v>
      </c>
      <c r="M29" s="6">
        <v>4373.97</v>
      </c>
      <c r="N29" s="6">
        <v>288.68</v>
      </c>
      <c r="O29" s="6">
        <v>0</v>
      </c>
      <c r="P29" s="6">
        <v>0</v>
      </c>
      <c r="Q29" s="6">
        <v>4085.29</v>
      </c>
      <c r="R29" s="6">
        <f>M29-N29-O29</f>
      </c>
      <c r="S29" s="6">
        <f>Q29</f>
      </c>
      <c r="T29" s="7">
        <v>46112.125</v>
      </c>
      <c r="U29" s="6">
        <f>M29-N29-O29-P29-Q29</f>
      </c>
      <c r="V29">
        <v>5952</v>
      </c>
      <c r="W29" s="8">
        <v>0.0465</v>
      </c>
    </row>
    <row r="30" spans="1:23" x14ac:dyDescent="0.25">
      <c r="A30" s="5">
        <v>46082.125</v>
      </c>
      <c r="B30" s="5">
        <v>46054.125</v>
      </c>
      <c r="C30" s="5">
        <v>46082.125</v>
      </c>
      <c r="D30">
        <v>15681</v>
      </c>
      <c r="E30">
        <v>48114</v>
      </c>
      <c r="F30" t="s">
        <v>81</v>
      </c>
      <c r="G30" t="s">
        <v>25</v>
      </c>
      <c r="H30" t="s">
        <v>82</v>
      </c>
      <c r="I30" t="s">
        <v>27</v>
      </c>
      <c r="J30" s="6">
        <v>0</v>
      </c>
      <c r="K30" s="6">
        <v>58.63</v>
      </c>
      <c r="L30" s="6">
        <v>0</v>
      </c>
      <c r="M30" s="6">
        <v>58.63</v>
      </c>
      <c r="N30" s="6">
        <v>3.87</v>
      </c>
      <c r="O30" s="6">
        <v>0</v>
      </c>
      <c r="P30" s="6">
        <v>0</v>
      </c>
      <c r="Q30" s="6">
        <v>54.76</v>
      </c>
      <c r="R30" s="6">
        <f>M30-N30-O30</f>
      </c>
      <c r="S30" s="6">
        <f>Q30</f>
      </c>
      <c r="T30" s="7">
        <v>46112.125</v>
      </c>
      <c r="U30" s="6">
        <f>M30-N30-O30-P30-Q30</f>
      </c>
      <c r="V30">
        <v>5952</v>
      </c>
      <c r="W30" s="8">
        <v>0.0465</v>
      </c>
    </row>
    <row r="31" spans="1:23" x14ac:dyDescent="0.25">
      <c r="A31" s="5">
        <v>46082.125</v>
      </c>
      <c r="B31" s="5">
        <v>46054.125</v>
      </c>
      <c r="C31" s="5">
        <v>46082.125</v>
      </c>
      <c r="D31">
        <v>9859</v>
      </c>
      <c r="E31">
        <v>48115</v>
      </c>
      <c r="F31" t="s">
        <v>83</v>
      </c>
      <c r="G31" t="s">
        <v>25</v>
      </c>
      <c r="H31" t="s">
        <v>84</v>
      </c>
      <c r="I31" t="s">
        <v>41</v>
      </c>
      <c r="J31" s="6">
        <v>325.67</v>
      </c>
      <c r="K31" s="6">
        <v>25.67</v>
      </c>
      <c r="L31" s="6">
        <v>0</v>
      </c>
      <c r="M31" s="6">
        <v>351.34</v>
      </c>
      <c r="N31" s="6">
        <v>23.19</v>
      </c>
      <c r="O31" s="6">
        <v>7.03</v>
      </c>
      <c r="P31" s="6">
        <v>0</v>
      </c>
      <c r="Q31" s="6">
        <v>321.12</v>
      </c>
      <c r="R31" s="6">
        <f>M31-N31-O31</f>
      </c>
      <c r="S31" s="6">
        <f>Q31</f>
      </c>
      <c r="T31" s="7">
        <v>46112.125</v>
      </c>
      <c r="U31" s="6">
        <f>M31-N31-O31-P31-Q31</f>
      </c>
      <c r="V31">
        <v>5952</v>
      </c>
      <c r="W31" s="8">
        <v>0.0465</v>
      </c>
    </row>
    <row r="32" spans="1:23" x14ac:dyDescent="0.25">
      <c r="A32" s="5">
        <v>46082.125</v>
      </c>
      <c r="B32" s="5">
        <v>46054.125</v>
      </c>
      <c r="C32" s="5">
        <v>46082.125</v>
      </c>
      <c r="D32">
        <v>82777</v>
      </c>
      <c r="E32">
        <v>48116</v>
      </c>
      <c r="F32" t="s">
        <v>85</v>
      </c>
      <c r="G32" t="s">
        <v>25</v>
      </c>
      <c r="H32" t="s">
        <v>86</v>
      </c>
      <c r="I32" t="s">
        <v>27</v>
      </c>
      <c r="J32" s="6">
        <v>829.88</v>
      </c>
      <c r="K32" s="6">
        <v>655.76</v>
      </c>
      <c r="L32" s="6">
        <v>0</v>
      </c>
      <c r="M32" s="6">
        <v>1485.64</v>
      </c>
      <c r="N32" s="6">
        <v>98.05</v>
      </c>
      <c r="O32" s="6">
        <v>0</v>
      </c>
      <c r="P32" s="6">
        <v>0</v>
      </c>
      <c r="Q32" s="6">
        <v>1387.59</v>
      </c>
      <c r="R32" s="6">
        <f>M32-N32-O32</f>
      </c>
      <c r="S32" s="6">
        <f>Q32</f>
      </c>
      <c r="T32" s="7">
        <v>46112.125</v>
      </c>
      <c r="U32" s="6">
        <f>M32-N32-O32-P32-Q32</f>
      </c>
      <c r="V32">
        <v>5952</v>
      </c>
      <c r="W32" s="8">
        <v>0.0465</v>
      </c>
    </row>
    <row r="33" spans="1:23" x14ac:dyDescent="0.25">
      <c r="A33" s="5">
        <v>46082.125</v>
      </c>
      <c r="B33" s="5">
        <v>46054.125</v>
      </c>
      <c r="C33" s="5">
        <v>46082.125</v>
      </c>
      <c r="D33">
        <v>9841</v>
      </c>
      <c r="E33">
        <v>48118</v>
      </c>
      <c r="F33" t="s">
        <v>87</v>
      </c>
      <c r="G33" t="s">
        <v>25</v>
      </c>
      <c r="H33" t="s">
        <v>88</v>
      </c>
      <c r="I33" t="s">
        <v>27</v>
      </c>
      <c r="J33" s="6">
        <v>669.66</v>
      </c>
      <c r="K33" s="6">
        <v>150.11</v>
      </c>
      <c r="L33" s="6">
        <v>0</v>
      </c>
      <c r="M33" s="6">
        <v>819.77</v>
      </c>
      <c r="N33" s="6">
        <v>54.1</v>
      </c>
      <c r="O33" s="6">
        <v>0</v>
      </c>
      <c r="P33" s="6">
        <v>0</v>
      </c>
      <c r="Q33" s="6">
        <v>765.67</v>
      </c>
      <c r="R33" s="6">
        <f>M33-N33-O33</f>
      </c>
      <c r="S33" s="6">
        <f>Q33</f>
      </c>
      <c r="T33" s="7">
        <v>46112.125</v>
      </c>
      <c r="U33" s="6">
        <f>M33-N33-O33-P33-Q33</f>
      </c>
      <c r="V33">
        <v>5952</v>
      </c>
      <c r="W33" s="8">
        <v>0.0465</v>
      </c>
    </row>
    <row r="34" spans="1:23" x14ac:dyDescent="0.25">
      <c r="A34" s="5">
        <v>46082.125</v>
      </c>
      <c r="B34" s="5">
        <v>46054.125</v>
      </c>
      <c r="C34" s="5">
        <v>46082.125</v>
      </c>
      <c r="D34">
        <v>8299</v>
      </c>
      <c r="E34">
        <v>48119</v>
      </c>
      <c r="F34" t="s">
        <v>89</v>
      </c>
      <c r="G34" t="s">
        <v>25</v>
      </c>
      <c r="H34" t="s">
        <v>90</v>
      </c>
      <c r="I34" t="s">
        <v>30</v>
      </c>
      <c r="J34" s="6">
        <v>1267.24</v>
      </c>
      <c r="K34" s="6">
        <v>248.89</v>
      </c>
      <c r="L34" s="6">
        <v>0</v>
      </c>
      <c r="M34" s="6">
        <v>1516.13</v>
      </c>
      <c r="N34" s="6">
        <v>100.06</v>
      </c>
      <c r="O34" s="6">
        <v>0</v>
      </c>
      <c r="P34" s="6">
        <v>0</v>
      </c>
      <c r="Q34" s="6">
        <v>1416.07</v>
      </c>
      <c r="R34" s="6">
        <f>M34-N34-O34</f>
      </c>
      <c r="S34" s="6">
        <f>Q34</f>
      </c>
      <c r="T34" s="7">
        <v>46112.125</v>
      </c>
      <c r="U34" s="6">
        <f>M34-N34-O34-P34-Q34</f>
      </c>
      <c r="V34">
        <v>5952</v>
      </c>
      <c r="W34" s="8">
        <v>0.0465</v>
      </c>
    </row>
    <row r="35" spans="1:23" x14ac:dyDescent="0.25">
      <c r="A35" s="5">
        <v>46082.125</v>
      </c>
      <c r="B35" s="5">
        <v>46054.125</v>
      </c>
      <c r="C35" s="5">
        <v>46082.125</v>
      </c>
      <c r="D35">
        <v>9151</v>
      </c>
      <c r="E35">
        <v>48120</v>
      </c>
      <c r="F35" t="s">
        <v>91</v>
      </c>
      <c r="G35" t="s">
        <v>25</v>
      </c>
      <c r="H35" t="s">
        <v>92</v>
      </c>
      <c r="I35" t="s">
        <v>30</v>
      </c>
      <c r="J35" s="6">
        <v>2151.56</v>
      </c>
      <c r="K35" s="6">
        <v>605.15</v>
      </c>
      <c r="L35" s="6">
        <v>0</v>
      </c>
      <c r="M35" s="6">
        <v>2756.71</v>
      </c>
      <c r="N35" s="6">
        <v>181.94</v>
      </c>
      <c r="O35" s="6">
        <v>0</v>
      </c>
      <c r="P35" s="6">
        <v>0</v>
      </c>
      <c r="Q35" s="6">
        <v>2574.77</v>
      </c>
      <c r="R35" s="6">
        <f>M35-N35-O35</f>
      </c>
      <c r="S35" s="6">
        <f>Q35</f>
      </c>
      <c r="T35" s="7">
        <v>46112.125</v>
      </c>
      <c r="U35" s="6">
        <f>M35-N35-O35-P35-Q35</f>
      </c>
      <c r="V35">
        <v>5952</v>
      </c>
      <c r="W35" s="8">
        <v>0.0465</v>
      </c>
    </row>
    <row r="36" spans="1:23" x14ac:dyDescent="0.25">
      <c r="A36" s="5">
        <v>46082.125</v>
      </c>
      <c r="B36" s="5">
        <v>46054.125</v>
      </c>
      <c r="C36" s="5">
        <v>46082.125</v>
      </c>
      <c r="D36">
        <v>9597</v>
      </c>
      <c r="E36">
        <v>48121</v>
      </c>
      <c r="F36" t="s">
        <v>93</v>
      </c>
      <c r="G36" t="s">
        <v>25</v>
      </c>
      <c r="H36" t="s">
        <v>94</v>
      </c>
      <c r="I36" t="s">
        <v>27</v>
      </c>
      <c r="J36" s="6">
        <v>617.93</v>
      </c>
      <c r="K36" s="6">
        <v>0</v>
      </c>
      <c r="L36" s="6">
        <v>0</v>
      </c>
      <c r="M36" s="6">
        <v>617.93</v>
      </c>
      <c r="N36" s="6">
        <v>40.78</v>
      </c>
      <c r="O36" s="6">
        <v>0</v>
      </c>
      <c r="P36" s="6">
        <v>0</v>
      </c>
      <c r="Q36" s="6">
        <v>577.15</v>
      </c>
      <c r="R36" s="6">
        <f>M36-N36-O36</f>
      </c>
      <c r="S36" s="6">
        <f>Q36</f>
      </c>
      <c r="T36" s="7">
        <v>46112.125</v>
      </c>
      <c r="U36" s="6">
        <f>M36-N36-O36-P36-Q36</f>
      </c>
      <c r="V36">
        <v>5952</v>
      </c>
      <c r="W36" s="8">
        <v>0.0465</v>
      </c>
    </row>
    <row r="37" spans="1:23" x14ac:dyDescent="0.25">
      <c r="A37" s="5">
        <v>46082.125</v>
      </c>
      <c r="B37" s="5">
        <v>46054.125</v>
      </c>
      <c r="C37" s="5">
        <v>46082.125</v>
      </c>
      <c r="D37">
        <v>7718</v>
      </c>
      <c r="E37">
        <v>48127</v>
      </c>
      <c r="F37" t="s">
        <v>95</v>
      </c>
      <c r="G37" t="s">
        <v>25</v>
      </c>
      <c r="H37" t="s">
        <v>96</v>
      </c>
      <c r="I37" t="s">
        <v>30</v>
      </c>
      <c r="J37" s="6">
        <v>2307.43</v>
      </c>
      <c r="K37" s="6">
        <v>644.77</v>
      </c>
      <c r="L37" s="6">
        <v>0</v>
      </c>
      <c r="M37" s="6">
        <v>2952.2</v>
      </c>
      <c r="N37" s="6">
        <v>194.85</v>
      </c>
      <c r="O37" s="6">
        <v>0</v>
      </c>
      <c r="P37" s="6">
        <v>0</v>
      </c>
      <c r="Q37" s="6">
        <v>2757.35</v>
      </c>
      <c r="R37" s="6">
        <f>M37-N37-O37</f>
      </c>
      <c r="S37" s="6">
        <f>Q37</f>
      </c>
      <c r="T37" s="7">
        <v>46112.125</v>
      </c>
      <c r="U37" s="6">
        <f>M37-N37-O37-P37-Q37</f>
      </c>
      <c r="V37">
        <v>5952</v>
      </c>
      <c r="W37" s="8">
        <v>0.0465</v>
      </c>
    </row>
    <row r="38" spans="1:23" x14ac:dyDescent="0.25">
      <c r="A38" s="5">
        <v>46082.125</v>
      </c>
      <c r="B38" s="5">
        <v>46054.125</v>
      </c>
      <c r="C38" s="5">
        <v>46082.125</v>
      </c>
      <c r="D38">
        <v>2814</v>
      </c>
      <c r="E38">
        <v>48128</v>
      </c>
      <c r="F38" t="s">
        <v>97</v>
      </c>
      <c r="G38" t="s">
        <v>25</v>
      </c>
      <c r="H38" t="s">
        <v>98</v>
      </c>
      <c r="I38" t="s">
        <v>27</v>
      </c>
      <c r="J38" s="6">
        <v>299.04</v>
      </c>
      <c r="K38" s="6">
        <v>300.61</v>
      </c>
      <c r="L38" s="6">
        <v>0</v>
      </c>
      <c r="M38" s="6">
        <v>599.65</v>
      </c>
      <c r="N38" s="6">
        <v>39.58</v>
      </c>
      <c r="O38" s="6">
        <v>0</v>
      </c>
      <c r="P38" s="6">
        <v>0</v>
      </c>
      <c r="Q38" s="6">
        <v>560.07</v>
      </c>
      <c r="R38" s="6">
        <f>M38-N38-O38</f>
      </c>
      <c r="S38" s="6">
        <f>Q38</f>
      </c>
      <c r="T38" s="7">
        <v>46112.125</v>
      </c>
      <c r="U38" s="6">
        <f>M38-N38-O38-P38-Q38</f>
      </c>
      <c r="V38">
        <v>5952</v>
      </c>
      <c r="W38" s="8">
        <v>0.0465</v>
      </c>
    </row>
    <row r="39" spans="1:23" x14ac:dyDescent="0.25">
      <c r="A39" s="5">
        <v>46082.125</v>
      </c>
      <c r="B39" s="5">
        <v>46054.125</v>
      </c>
      <c r="C39" s="5">
        <v>46082.125</v>
      </c>
      <c r="D39">
        <v>15680</v>
      </c>
      <c r="E39">
        <v>48130</v>
      </c>
      <c r="F39" t="s">
        <v>99</v>
      </c>
      <c r="G39" t="s">
        <v>25</v>
      </c>
      <c r="H39" t="s">
        <v>100</v>
      </c>
      <c r="I39" t="s">
        <v>27</v>
      </c>
      <c r="J39" s="6">
        <v>0</v>
      </c>
      <c r="K39" s="6">
        <v>782.21</v>
      </c>
      <c r="L39" s="6">
        <v>0</v>
      </c>
      <c r="M39" s="6">
        <v>782.21</v>
      </c>
      <c r="N39" s="6">
        <v>51.63</v>
      </c>
      <c r="O39" s="6">
        <v>0</v>
      </c>
      <c r="P39" s="6">
        <v>0</v>
      </c>
      <c r="Q39" s="6">
        <v>730.58</v>
      </c>
      <c r="R39" s="6">
        <f>M39-N39-O39</f>
      </c>
      <c r="S39" s="6">
        <f>Q39</f>
      </c>
      <c r="T39" s="7">
        <v>46112.125</v>
      </c>
      <c r="U39" s="6">
        <f>M39-N39-O39-P39-Q39</f>
      </c>
      <c r="V39">
        <v>5952</v>
      </c>
      <c r="W39" s="8">
        <v>0.0465</v>
      </c>
    </row>
    <row r="40" spans="1:23" x14ac:dyDescent="0.25">
      <c r="A40" s="5">
        <v>46082.125</v>
      </c>
      <c r="B40" s="5">
        <v>46054.125</v>
      </c>
      <c r="C40" s="5">
        <v>46082.125</v>
      </c>
      <c r="D40">
        <v>15455</v>
      </c>
      <c r="E40">
        <v>48133</v>
      </c>
      <c r="F40" t="s">
        <v>101</v>
      </c>
      <c r="G40" t="s">
        <v>25</v>
      </c>
      <c r="H40" t="s">
        <v>102</v>
      </c>
      <c r="I40" t="s">
        <v>41</v>
      </c>
      <c r="J40" s="6">
        <v>150</v>
      </c>
      <c r="K40" s="6">
        <v>0</v>
      </c>
      <c r="L40" s="6">
        <v>0</v>
      </c>
      <c r="M40" s="6">
        <v>150</v>
      </c>
      <c r="N40" s="6">
        <v>9.9</v>
      </c>
      <c r="O40" s="6">
        <v>3</v>
      </c>
      <c r="P40" s="6">
        <v>0</v>
      </c>
      <c r="Q40" s="6">
        <v>137.1</v>
      </c>
      <c r="R40" s="6">
        <f>M40-N40-O40</f>
      </c>
      <c r="S40" s="6">
        <f>Q40</f>
      </c>
      <c r="T40" s="7">
        <v>46112.125</v>
      </c>
      <c r="U40" s="6">
        <f>M40-N40-O40-P40-Q40</f>
      </c>
      <c r="V40">
        <v>5952</v>
      </c>
      <c r="W40" s="8">
        <v>0.0465</v>
      </c>
    </row>
    <row r="41" spans="1:23" x14ac:dyDescent="0.25">
      <c r="A41" s="5">
        <v>46082.125</v>
      </c>
      <c r="B41" s="5">
        <v>46054.125</v>
      </c>
      <c r="C41" s="5">
        <v>46082.125</v>
      </c>
      <c r="D41">
        <v>82894</v>
      </c>
      <c r="E41">
        <v>48134</v>
      </c>
      <c r="F41" t="s">
        <v>103</v>
      </c>
      <c r="G41" t="s">
        <v>25</v>
      </c>
      <c r="H41" t="s">
        <v>104</v>
      </c>
      <c r="I41" t="s">
        <v>27</v>
      </c>
      <c r="J41" s="6">
        <v>63.11</v>
      </c>
      <c r="K41" s="6">
        <v>129.72</v>
      </c>
      <c r="L41" s="6">
        <v>0</v>
      </c>
      <c r="M41" s="6">
        <v>192.83</v>
      </c>
      <c r="N41" s="6">
        <v>12.73</v>
      </c>
      <c r="O41" s="6">
        <v>0</v>
      </c>
      <c r="P41" s="6">
        <v>0</v>
      </c>
      <c r="Q41" s="6">
        <v>180.1</v>
      </c>
      <c r="R41" s="6">
        <f>M41-N41-O41</f>
      </c>
      <c r="S41" s="6">
        <f>Q41</f>
      </c>
      <c r="T41" s="7">
        <v>46112.125</v>
      </c>
      <c r="U41" s="6">
        <f>M41-N41-O41-P41-Q41</f>
      </c>
      <c r="V41">
        <v>5952</v>
      </c>
      <c r="W41" s="8">
        <v>0.0465</v>
      </c>
    </row>
    <row r="42" spans="1:23" x14ac:dyDescent="0.25">
      <c r="A42" s="5">
        <v>46082.125</v>
      </c>
      <c r="B42" s="5">
        <v>46054.125</v>
      </c>
      <c r="C42" s="5">
        <v>46082.125</v>
      </c>
      <c r="D42">
        <v>14826</v>
      </c>
      <c r="E42">
        <v>48135</v>
      </c>
      <c r="F42" t="s">
        <v>105</v>
      </c>
      <c r="G42" t="s">
        <v>25</v>
      </c>
      <c r="H42" t="s">
        <v>106</v>
      </c>
      <c r="I42" t="s">
        <v>27</v>
      </c>
      <c r="J42" s="6">
        <v>2219.89</v>
      </c>
      <c r="K42" s="6">
        <v>96.44</v>
      </c>
      <c r="L42" s="6">
        <v>0</v>
      </c>
      <c r="M42" s="6">
        <v>2316.33</v>
      </c>
      <c r="N42" s="6">
        <v>152.88</v>
      </c>
      <c r="O42" s="6">
        <v>0</v>
      </c>
      <c r="P42" s="6">
        <v>0</v>
      </c>
      <c r="Q42" s="6">
        <v>2163.45</v>
      </c>
      <c r="R42" s="6">
        <f>M42-N42-O42</f>
      </c>
      <c r="S42" s="6">
        <f>Q42</f>
      </c>
      <c r="T42" s="7">
        <v>46112.125</v>
      </c>
      <c r="U42" s="6">
        <f>M42-N42-O42-P42-Q42</f>
      </c>
      <c r="V42">
        <v>5952</v>
      </c>
      <c r="W42" s="8">
        <v>0.0465</v>
      </c>
    </row>
    <row r="43" spans="1:23" x14ac:dyDescent="0.25">
      <c r="A43" s="5">
        <v>46082.125</v>
      </c>
      <c r="B43" s="5">
        <v>46054.125</v>
      </c>
      <c r="C43" s="5">
        <v>46082.125</v>
      </c>
      <c r="D43">
        <v>9815</v>
      </c>
      <c r="E43">
        <v>48136</v>
      </c>
      <c r="F43" t="s">
        <v>107</v>
      </c>
      <c r="G43" t="s">
        <v>25</v>
      </c>
      <c r="H43" t="s">
        <v>108</v>
      </c>
      <c r="I43" t="s">
        <v>30</v>
      </c>
      <c r="J43" s="6">
        <v>0</v>
      </c>
      <c r="K43" s="6">
        <v>79.8</v>
      </c>
      <c r="L43" s="6">
        <v>0</v>
      </c>
      <c r="M43" s="6">
        <v>79.8</v>
      </c>
      <c r="N43" s="6">
        <v>5.27</v>
      </c>
      <c r="O43" s="6">
        <v>0</v>
      </c>
      <c r="P43" s="6">
        <v>0</v>
      </c>
      <c r="Q43" s="6">
        <v>74.53</v>
      </c>
      <c r="R43" s="6">
        <f>M43-N43-O43</f>
      </c>
      <c r="S43" s="6">
        <f>Q43</f>
      </c>
      <c r="T43" s="7">
        <v>46112.125</v>
      </c>
      <c r="U43" s="6">
        <f>M43-N43-O43-P43-Q43</f>
      </c>
      <c r="V43">
        <v>5952</v>
      </c>
      <c r="W43" s="8">
        <v>0.0465</v>
      </c>
    </row>
    <row r="44" spans="1:23" x14ac:dyDescent="0.25">
      <c r="A44" s="5">
        <v>46082.125</v>
      </c>
      <c r="B44" s="5">
        <v>46054.125</v>
      </c>
      <c r="C44" s="5">
        <v>46082.125</v>
      </c>
      <c r="D44">
        <v>9059</v>
      </c>
      <c r="E44">
        <v>48137</v>
      </c>
      <c r="F44" t="s">
        <v>109</v>
      </c>
      <c r="G44" t="s">
        <v>25</v>
      </c>
      <c r="H44" t="s">
        <v>110</v>
      </c>
      <c r="I44" t="s">
        <v>27</v>
      </c>
      <c r="J44" s="6">
        <v>30.49</v>
      </c>
      <c r="K44" s="6">
        <v>0</v>
      </c>
      <c r="L44" s="6">
        <v>0</v>
      </c>
      <c r="M44" s="6">
        <v>30.49</v>
      </c>
      <c r="N44" s="6">
        <v>2.01</v>
      </c>
      <c r="O44" s="6">
        <v>0</v>
      </c>
      <c r="P44" s="6">
        <v>0</v>
      </c>
      <c r="Q44" s="6">
        <v>28.48</v>
      </c>
      <c r="R44" s="6">
        <f>M44-N44-O44</f>
      </c>
      <c r="S44" s="6">
        <f>Q44</f>
      </c>
      <c r="T44" s="7">
        <v>46112.125</v>
      </c>
      <c r="U44" s="6">
        <f>M44-N44-O44-P44-Q44</f>
      </c>
      <c r="V44">
        <v>5952</v>
      </c>
      <c r="W44" s="8">
        <v>0.0465</v>
      </c>
    </row>
    <row r="45" spans="1:23" x14ac:dyDescent="0.25">
      <c r="A45" s="5">
        <v>46082.125</v>
      </c>
      <c r="B45" s="5">
        <v>46054.125</v>
      </c>
      <c r="C45" s="5">
        <v>46082.125</v>
      </c>
      <c r="D45">
        <v>9508</v>
      </c>
      <c r="E45">
        <v>48138</v>
      </c>
      <c r="F45" t="s">
        <v>111</v>
      </c>
      <c r="G45" t="s">
        <v>25</v>
      </c>
      <c r="H45" t="s">
        <v>112</v>
      </c>
      <c r="I45" t="s">
        <v>30</v>
      </c>
      <c r="J45" s="6">
        <v>1862.42</v>
      </c>
      <c r="K45" s="6">
        <v>0</v>
      </c>
      <c r="L45" s="6">
        <v>0</v>
      </c>
      <c r="M45" s="6">
        <v>1862.42</v>
      </c>
      <c r="N45" s="6">
        <v>122.92</v>
      </c>
      <c r="O45" s="6">
        <v>0</v>
      </c>
      <c r="P45" s="6">
        <v>0</v>
      </c>
      <c r="Q45" s="6">
        <v>1739.5</v>
      </c>
      <c r="R45" s="6">
        <f>M45-N45-O45</f>
      </c>
      <c r="S45" s="6">
        <f>Q45</f>
      </c>
      <c r="T45" s="7">
        <v>46112.125</v>
      </c>
      <c r="U45" s="6">
        <f>M45-N45-O45-P45-Q45</f>
      </c>
      <c r="V45">
        <v>5952</v>
      </c>
      <c r="W45" s="8">
        <v>0.0465</v>
      </c>
    </row>
    <row r="46" spans="1:23" x14ac:dyDescent="0.25">
      <c r="A46" s="5">
        <v>46082.125</v>
      </c>
      <c r="B46" s="5">
        <v>46054.125</v>
      </c>
      <c r="C46" s="5">
        <v>46082.125</v>
      </c>
      <c r="D46">
        <v>14050</v>
      </c>
      <c r="E46">
        <v>48143</v>
      </c>
      <c r="F46" t="s">
        <v>113</v>
      </c>
      <c r="G46" t="s">
        <v>25</v>
      </c>
      <c r="H46" t="s">
        <v>114</v>
      </c>
      <c r="I46" t="s">
        <v>27</v>
      </c>
      <c r="J46" s="6">
        <v>2284.38</v>
      </c>
      <c r="K46" s="6">
        <v>169.64</v>
      </c>
      <c r="L46" s="6">
        <v>0</v>
      </c>
      <c r="M46" s="6">
        <v>2454.02</v>
      </c>
      <c r="N46" s="6">
        <v>161.97</v>
      </c>
      <c r="O46" s="6">
        <v>0</v>
      </c>
      <c r="P46" s="6">
        <v>0</v>
      </c>
      <c r="Q46" s="6">
        <v>2292.05</v>
      </c>
      <c r="R46" s="6">
        <f>M46-N46-O46</f>
      </c>
      <c r="S46" s="6">
        <f>Q46</f>
      </c>
      <c r="T46" s="7">
        <v>46112.125</v>
      </c>
      <c r="U46" s="6">
        <f>M46-N46-O46-P46-Q46</f>
      </c>
      <c r="V46">
        <v>5952</v>
      </c>
      <c r="W46" s="8">
        <v>0.0465</v>
      </c>
    </row>
    <row r="47" spans="1:23" x14ac:dyDescent="0.25">
      <c r="A47" s="5">
        <v>46082.125</v>
      </c>
      <c r="B47" s="5">
        <v>46054.125</v>
      </c>
      <c r="C47" s="5">
        <v>46082.125</v>
      </c>
      <c r="D47">
        <v>9248</v>
      </c>
      <c r="E47">
        <v>48146</v>
      </c>
      <c r="F47" t="s">
        <v>115</v>
      </c>
      <c r="G47" t="s">
        <v>25</v>
      </c>
      <c r="H47" t="s">
        <v>116</v>
      </c>
      <c r="I47" t="s">
        <v>30</v>
      </c>
      <c r="J47" s="6">
        <v>39.64</v>
      </c>
      <c r="K47" s="6">
        <v>39.64</v>
      </c>
      <c r="L47" s="6">
        <v>0</v>
      </c>
      <c r="M47" s="6">
        <v>79.28</v>
      </c>
      <c r="N47" s="6">
        <v>5.23</v>
      </c>
      <c r="O47" s="6">
        <v>0</v>
      </c>
      <c r="P47" s="6">
        <v>0</v>
      </c>
      <c r="Q47" s="6">
        <v>74.05</v>
      </c>
      <c r="R47" s="6">
        <f>M47-N47-O47</f>
      </c>
      <c r="S47" s="6">
        <f>Q47</f>
      </c>
      <c r="T47" s="7">
        <v>46112.125</v>
      </c>
      <c r="U47" s="6">
        <f>M47-N47-O47-P47-Q47</f>
      </c>
      <c r="V47">
        <v>5952</v>
      </c>
      <c r="W47" s="8">
        <v>0.0465</v>
      </c>
    </row>
    <row r="48" spans="1:23" x14ac:dyDescent="0.25">
      <c r="A48" s="5">
        <v>46082.125</v>
      </c>
      <c r="B48" s="5">
        <v>46054.125</v>
      </c>
      <c r="C48" s="5">
        <v>46082.125</v>
      </c>
      <c r="D48">
        <v>8324</v>
      </c>
      <c r="E48">
        <v>48147</v>
      </c>
      <c r="F48" t="s">
        <v>117</v>
      </c>
      <c r="G48" t="s">
        <v>25</v>
      </c>
      <c r="H48" t="s">
        <v>118</v>
      </c>
      <c r="I48" t="s">
        <v>119</v>
      </c>
      <c r="J48" s="6">
        <v>457.4</v>
      </c>
      <c r="K48" s="6">
        <v>358.46</v>
      </c>
      <c r="L48" s="6">
        <v>0</v>
      </c>
      <c r="M48" s="6">
        <v>815.86</v>
      </c>
      <c r="N48" s="6">
        <v>0</v>
      </c>
      <c r="O48" s="6">
        <v>0</v>
      </c>
      <c r="P48" s="6">
        <v>0</v>
      </c>
      <c r="Q48" s="6">
        <v>815.86</v>
      </c>
      <c r="R48" s="6">
        <f>M48-N48-O48</f>
      </c>
      <c r="S48" s="6">
        <f>Q48</f>
      </c>
      <c r="T48" s="7">
        <v>46112.125</v>
      </c>
      <c r="U48" s="6">
        <f>M48-N48-O48-P48-Q48</f>
      </c>
      <c r="V48">
        <v>5952</v>
      </c>
      <c r="W48" s="8">
        <v>0.0465</v>
      </c>
    </row>
    <row r="49" spans="1:23" x14ac:dyDescent="0.25">
      <c r="A49" s="5">
        <v>46082.125</v>
      </c>
      <c r="B49" s="5">
        <v>46054.125</v>
      </c>
      <c r="C49" s="5">
        <v>46082.125</v>
      </c>
      <c r="D49">
        <v>8748</v>
      </c>
      <c r="E49">
        <v>48148</v>
      </c>
      <c r="F49" t="s">
        <v>120</v>
      </c>
      <c r="G49" t="s">
        <v>25</v>
      </c>
      <c r="H49" t="s">
        <v>121</v>
      </c>
      <c r="I49" t="s">
        <v>27</v>
      </c>
      <c r="J49" s="6">
        <v>479.71</v>
      </c>
      <c r="K49" s="6">
        <v>63.25</v>
      </c>
      <c r="L49" s="6">
        <v>0</v>
      </c>
      <c r="M49" s="6">
        <v>542.96</v>
      </c>
      <c r="N49" s="6">
        <v>35.84</v>
      </c>
      <c r="O49" s="6">
        <v>0</v>
      </c>
      <c r="P49" s="6">
        <v>0</v>
      </c>
      <c r="Q49" s="6">
        <v>507.12</v>
      </c>
      <c r="R49" s="6">
        <f>M49-N49-O49</f>
      </c>
      <c r="S49" s="6">
        <f>Q49</f>
      </c>
      <c r="T49" s="7">
        <v>46112.125</v>
      </c>
      <c r="U49" s="6">
        <f>M49-N49-O49-P49-Q49</f>
      </c>
      <c r="V49">
        <v>5952</v>
      </c>
      <c r="W49" s="8">
        <v>0.0465</v>
      </c>
    </row>
    <row r="50" spans="1:23" x14ac:dyDescent="0.25">
      <c r="A50" s="5">
        <v>46082.125</v>
      </c>
      <c r="B50" s="5">
        <v>46054.125</v>
      </c>
      <c r="C50" s="5">
        <v>46082.125</v>
      </c>
      <c r="D50">
        <v>8700</v>
      </c>
      <c r="E50">
        <v>48149</v>
      </c>
      <c r="F50" t="s">
        <v>122</v>
      </c>
      <c r="G50" t="s">
        <v>25</v>
      </c>
      <c r="H50" t="s">
        <v>123</v>
      </c>
      <c r="I50" t="s">
        <v>30</v>
      </c>
      <c r="J50" s="6">
        <v>444.25</v>
      </c>
      <c r="K50" s="6">
        <v>0</v>
      </c>
      <c r="L50" s="6">
        <v>0</v>
      </c>
      <c r="M50" s="6">
        <v>444.25</v>
      </c>
      <c r="N50" s="6">
        <v>29.32</v>
      </c>
      <c r="O50" s="6">
        <v>0</v>
      </c>
      <c r="P50" s="6">
        <v>0</v>
      </c>
      <c r="Q50" s="6">
        <v>414.93</v>
      </c>
      <c r="R50" s="6">
        <f>M50-N50-O50</f>
      </c>
      <c r="S50" s="6">
        <f>Q50</f>
      </c>
      <c r="T50" s="7">
        <v>46112.125</v>
      </c>
      <c r="U50" s="6">
        <f>M50-N50-O50-P50-Q50</f>
      </c>
      <c r="V50">
        <v>5952</v>
      </c>
      <c r="W50" s="8">
        <v>0.0465</v>
      </c>
    </row>
    <row r="51" spans="1:23" x14ac:dyDescent="0.25">
      <c r="A51" s="5">
        <v>46082.125</v>
      </c>
      <c r="B51" s="5">
        <v>46054.125</v>
      </c>
      <c r="C51" s="5">
        <v>46082.125</v>
      </c>
      <c r="D51">
        <v>82790</v>
      </c>
      <c r="E51">
        <v>48152</v>
      </c>
      <c r="F51" t="s">
        <v>124</v>
      </c>
      <c r="G51" t="s">
        <v>25</v>
      </c>
      <c r="H51" t="s">
        <v>125</v>
      </c>
      <c r="I51" t="s">
        <v>27</v>
      </c>
      <c r="J51" s="6">
        <v>210</v>
      </c>
      <c r="K51" s="6">
        <v>0</v>
      </c>
      <c r="L51" s="6">
        <v>0</v>
      </c>
      <c r="M51" s="6">
        <v>210</v>
      </c>
      <c r="N51" s="6">
        <v>13.86</v>
      </c>
      <c r="O51" s="6">
        <v>0</v>
      </c>
      <c r="P51" s="6">
        <v>0</v>
      </c>
      <c r="Q51" s="6">
        <v>196.14</v>
      </c>
      <c r="R51" s="6">
        <f>M51-N51-O51</f>
      </c>
      <c r="S51" s="6">
        <f>Q51</f>
      </c>
      <c r="T51" s="7">
        <v>46112.125</v>
      </c>
      <c r="U51" s="6">
        <f>M51-N51-O51-P51-Q51</f>
      </c>
      <c r="V51">
        <v>5952</v>
      </c>
      <c r="W51" s="8">
        <v>0.0465</v>
      </c>
    </row>
    <row r="52" spans="1:23" x14ac:dyDescent="0.25">
      <c r="A52" s="5">
        <v>46082.125</v>
      </c>
      <c r="B52" s="5">
        <v>46054.125</v>
      </c>
      <c r="C52" s="5">
        <v>46082.125</v>
      </c>
      <c r="D52">
        <v>8902</v>
      </c>
      <c r="E52">
        <v>48156</v>
      </c>
      <c r="F52" t="s">
        <v>126</v>
      </c>
      <c r="G52" t="s">
        <v>25</v>
      </c>
      <c r="H52" t="s">
        <v>127</v>
      </c>
      <c r="I52" t="s">
        <v>27</v>
      </c>
      <c r="J52" s="6">
        <v>3433.39</v>
      </c>
      <c r="K52" s="6">
        <v>279.97</v>
      </c>
      <c r="L52" s="6">
        <v>0</v>
      </c>
      <c r="M52" s="6">
        <v>3713.36</v>
      </c>
      <c r="N52" s="6">
        <v>245.08</v>
      </c>
      <c r="O52" s="6">
        <v>0</v>
      </c>
      <c r="P52" s="6">
        <v>0</v>
      </c>
      <c r="Q52" s="6">
        <v>3468.28</v>
      </c>
      <c r="R52" s="6">
        <f>M52-N52-O52</f>
      </c>
      <c r="S52" s="6">
        <f>Q52</f>
      </c>
      <c r="T52" s="7">
        <v>46112.125</v>
      </c>
      <c r="U52" s="6">
        <f>M52-N52-O52-P52-Q52</f>
      </c>
      <c r="V52">
        <v>5952</v>
      </c>
      <c r="W52" s="8">
        <v>0.0465</v>
      </c>
    </row>
    <row r="53" spans="1:23" x14ac:dyDescent="0.25">
      <c r="A53" s="5">
        <v>46082.125</v>
      </c>
      <c r="B53" s="5">
        <v>46054.125</v>
      </c>
      <c r="C53" s="5">
        <v>46082.125</v>
      </c>
      <c r="D53">
        <v>15878</v>
      </c>
      <c r="E53">
        <v>48158</v>
      </c>
      <c r="F53" t="s">
        <v>128</v>
      </c>
      <c r="G53" t="s">
        <v>25</v>
      </c>
      <c r="H53" t="s">
        <v>129</v>
      </c>
      <c r="I53" t="s">
        <v>27</v>
      </c>
      <c r="J53" s="6">
        <v>665.3</v>
      </c>
      <c r="K53" s="6">
        <v>150.32</v>
      </c>
      <c r="L53" s="6">
        <v>0</v>
      </c>
      <c r="M53" s="6">
        <v>815.62</v>
      </c>
      <c r="N53" s="6">
        <v>53.83</v>
      </c>
      <c r="O53" s="6">
        <v>0</v>
      </c>
      <c r="P53" s="6">
        <v>0</v>
      </c>
      <c r="Q53" s="6">
        <v>761.79</v>
      </c>
      <c r="R53" s="6">
        <f>M53-N53-O53</f>
      </c>
      <c r="S53" s="6">
        <f>Q53</f>
      </c>
      <c r="T53" s="7">
        <v>46112.125</v>
      </c>
      <c r="U53" s="6">
        <f>M53-N53-O53-P53-Q53</f>
      </c>
      <c r="V53">
        <v>5952</v>
      </c>
      <c r="W53" s="8">
        <v>0.0465</v>
      </c>
    </row>
    <row r="54" spans="1:23" x14ac:dyDescent="0.25">
      <c r="A54" s="5">
        <v>46082.125</v>
      </c>
      <c r="B54" s="5">
        <v>46054.125</v>
      </c>
      <c r="C54" s="5">
        <v>46082.125</v>
      </c>
      <c r="D54">
        <v>15275</v>
      </c>
      <c r="E54">
        <v>48160</v>
      </c>
      <c r="F54" t="s">
        <v>130</v>
      </c>
      <c r="G54" t="s">
        <v>25</v>
      </c>
      <c r="H54" t="s">
        <v>131</v>
      </c>
      <c r="I54" t="s">
        <v>64</v>
      </c>
      <c r="J54" s="6">
        <v>1120.36</v>
      </c>
      <c r="K54" s="6">
        <v>408.18</v>
      </c>
      <c r="L54" s="6">
        <v>0</v>
      </c>
      <c r="M54" s="6">
        <v>1528.54</v>
      </c>
      <c r="N54" s="6">
        <v>100.88</v>
      </c>
      <c r="O54" s="6">
        <v>30.57</v>
      </c>
      <c r="P54" s="6">
        <v>0</v>
      </c>
      <c r="Q54" s="6">
        <v>1397.09</v>
      </c>
      <c r="R54" s="6">
        <f>M54-N54-O54</f>
      </c>
      <c r="S54" s="6">
        <f>Q54</f>
      </c>
      <c r="T54" s="7">
        <v>46112.125</v>
      </c>
      <c r="U54" s="6">
        <f>M54-N54-O54-P54-Q54</f>
      </c>
      <c r="V54">
        <v>5952</v>
      </c>
      <c r="W54" s="8">
        <v>0.0465</v>
      </c>
    </row>
    <row r="55" spans="1:23" x14ac:dyDescent="0.25">
      <c r="A55" s="5">
        <v>46082.125</v>
      </c>
      <c r="B55" s="5">
        <v>46054.125</v>
      </c>
      <c r="C55" s="5">
        <v>46082.125</v>
      </c>
      <c r="D55">
        <v>15276</v>
      </c>
      <c r="E55">
        <v>48161</v>
      </c>
      <c r="F55" t="s">
        <v>132</v>
      </c>
      <c r="G55" t="s">
        <v>25</v>
      </c>
      <c r="H55" t="s">
        <v>133</v>
      </c>
      <c r="I55" t="s">
        <v>64</v>
      </c>
      <c r="J55" s="6">
        <v>2827.93</v>
      </c>
      <c r="K55" s="6">
        <v>2513.68</v>
      </c>
      <c r="L55" s="6">
        <v>0</v>
      </c>
      <c r="M55" s="6">
        <v>5341.61</v>
      </c>
      <c r="N55" s="6">
        <v>352.55</v>
      </c>
      <c r="O55" s="6">
        <v>106.83</v>
      </c>
      <c r="P55" s="6">
        <v>201.27</v>
      </c>
      <c r="Q55" s="6">
        <v>4680.96</v>
      </c>
      <c r="R55" s="6">
        <f>M55-N55-O55</f>
      </c>
      <c r="S55" s="6">
        <f>Q55</f>
      </c>
      <c r="T55" s="7">
        <v>46112.125</v>
      </c>
      <c r="U55" s="6">
        <f>M55-N55-O55-P55-Q55</f>
      </c>
      <c r="V55">
        <v>5952</v>
      </c>
      <c r="W55" s="8">
        <v>0.0465</v>
      </c>
    </row>
    <row r="56" spans="1:23" x14ac:dyDescent="0.25">
      <c r="A56" s="5">
        <v>46082.125</v>
      </c>
      <c r="B56" s="5">
        <v>46054.125</v>
      </c>
      <c r="C56" s="5">
        <v>46082.125</v>
      </c>
      <c r="D56">
        <v>16000</v>
      </c>
      <c r="E56">
        <v>48162</v>
      </c>
      <c r="F56" t="s">
        <v>134</v>
      </c>
      <c r="G56" t="s">
        <v>25</v>
      </c>
      <c r="H56" t="s">
        <v>135</v>
      </c>
      <c r="I56" t="s">
        <v>27</v>
      </c>
      <c r="J56" s="6">
        <v>173.07</v>
      </c>
      <c r="K56" s="6">
        <v>0</v>
      </c>
      <c r="L56" s="6">
        <v>0</v>
      </c>
      <c r="M56" s="6">
        <v>173.07</v>
      </c>
      <c r="N56" s="6">
        <v>11.42</v>
      </c>
      <c r="O56" s="6">
        <v>0</v>
      </c>
      <c r="P56" s="6">
        <v>0</v>
      </c>
      <c r="Q56" s="6">
        <v>161.65</v>
      </c>
      <c r="R56" s="6">
        <f>M56-N56-O56</f>
      </c>
      <c r="S56" s="6">
        <f>Q56</f>
      </c>
      <c r="T56" s="7">
        <v>46112.125</v>
      </c>
      <c r="U56" s="6">
        <f>M56-N56-O56-P56-Q56</f>
      </c>
      <c r="V56">
        <v>5952</v>
      </c>
      <c r="W56" s="8">
        <v>0.0465</v>
      </c>
    </row>
    <row r="57" spans="1:23" x14ac:dyDescent="0.25">
      <c r="A57" s="5">
        <v>46082.125</v>
      </c>
      <c r="B57" s="5">
        <v>46054.125</v>
      </c>
      <c r="C57" s="5">
        <v>46082.125</v>
      </c>
      <c r="D57">
        <v>82961</v>
      </c>
      <c r="E57">
        <v>48164</v>
      </c>
      <c r="F57" t="s">
        <v>136</v>
      </c>
      <c r="G57" t="s">
        <v>25</v>
      </c>
      <c r="H57" t="s">
        <v>137</v>
      </c>
      <c r="I57" t="s">
        <v>27</v>
      </c>
      <c r="J57" s="6">
        <v>472</v>
      </c>
      <c r="K57" s="6">
        <v>0</v>
      </c>
      <c r="L57" s="6">
        <v>0</v>
      </c>
      <c r="M57" s="6">
        <v>472</v>
      </c>
      <c r="N57" s="6">
        <v>31.15</v>
      </c>
      <c r="O57" s="6">
        <v>0</v>
      </c>
      <c r="P57" s="6">
        <v>0</v>
      </c>
      <c r="Q57" s="6">
        <v>440.85</v>
      </c>
      <c r="R57" s="6">
        <f>M57-N57-O57</f>
      </c>
      <c r="S57" s="6">
        <f>Q57</f>
      </c>
      <c r="T57" s="7">
        <v>46112.125</v>
      </c>
      <c r="U57" s="6">
        <f>M57-N57-O57-P57-Q57</f>
      </c>
      <c r="V57">
        <v>5952</v>
      </c>
      <c r="W57" s="8">
        <v>0.0465</v>
      </c>
    </row>
    <row r="58" spans="1:23" x14ac:dyDescent="0.25">
      <c r="A58" s="5">
        <v>46082.125</v>
      </c>
      <c r="B58" s="5">
        <v>46054.125</v>
      </c>
      <c r="C58" s="5">
        <v>46082.125</v>
      </c>
      <c r="D58">
        <v>15952</v>
      </c>
      <c r="E58">
        <v>48168</v>
      </c>
      <c r="F58" t="s">
        <v>138</v>
      </c>
      <c r="G58" t="s">
        <v>25</v>
      </c>
      <c r="H58" t="s">
        <v>139</v>
      </c>
      <c r="I58" t="s">
        <v>64</v>
      </c>
      <c r="J58" s="6">
        <v>0</v>
      </c>
      <c r="K58" s="6">
        <v>171.6</v>
      </c>
      <c r="L58" s="6">
        <v>0</v>
      </c>
      <c r="M58" s="6">
        <v>171.6</v>
      </c>
      <c r="N58" s="6">
        <v>11.33</v>
      </c>
      <c r="O58" s="6">
        <v>3.43</v>
      </c>
      <c r="P58" s="6">
        <v>0</v>
      </c>
      <c r="Q58" s="6">
        <v>156.84</v>
      </c>
      <c r="R58" s="6">
        <f>M58-N58-O58</f>
      </c>
      <c r="S58" s="6">
        <f>Q58</f>
      </c>
      <c r="T58" s="7">
        <v>46112.125</v>
      </c>
      <c r="U58" s="6">
        <f>M58-N58-O58-P58-Q58</f>
      </c>
      <c r="V58">
        <v>5952</v>
      </c>
      <c r="W58" s="8">
        <v>0.0465</v>
      </c>
    </row>
    <row r="59" spans="1:23" x14ac:dyDescent="0.25">
      <c r="A59" s="5">
        <v>46082.125</v>
      </c>
      <c r="B59" s="5">
        <v>46054.125</v>
      </c>
      <c r="C59" s="5">
        <v>46082.125</v>
      </c>
      <c r="D59">
        <v>15346</v>
      </c>
      <c r="E59">
        <v>48170</v>
      </c>
      <c r="F59" t="s">
        <v>140</v>
      </c>
      <c r="G59" t="s">
        <v>25</v>
      </c>
      <c r="H59" t="s">
        <v>141</v>
      </c>
      <c r="I59" t="s">
        <v>30</v>
      </c>
      <c r="J59" s="6">
        <v>4411.53</v>
      </c>
      <c r="K59" s="6">
        <v>49.4</v>
      </c>
      <c r="L59" s="6">
        <v>0</v>
      </c>
      <c r="M59" s="6">
        <v>4460.93</v>
      </c>
      <c r="N59" s="6">
        <v>294.42</v>
      </c>
      <c r="O59" s="6">
        <v>0</v>
      </c>
      <c r="P59" s="6">
        <v>0</v>
      </c>
      <c r="Q59" s="6">
        <v>4166.51</v>
      </c>
      <c r="R59" s="6">
        <f>M59-N59-O59</f>
      </c>
      <c r="S59" s="6">
        <f>Q59</f>
      </c>
      <c r="T59" s="7">
        <v>46112.125</v>
      </c>
      <c r="U59" s="6">
        <f>M59-N59-O59-P59-Q59</f>
      </c>
      <c r="V59">
        <v>5952</v>
      </c>
      <c r="W59" s="8">
        <v>0.0465</v>
      </c>
    </row>
    <row r="60" spans="1:23" x14ac:dyDescent="0.25">
      <c r="A60" s="5">
        <v>46082.125</v>
      </c>
      <c r="B60" s="5">
        <v>46054.125</v>
      </c>
      <c r="C60" s="5">
        <v>46082.125</v>
      </c>
      <c r="D60">
        <v>9204</v>
      </c>
      <c r="E60">
        <v>48171</v>
      </c>
      <c r="F60" t="s">
        <v>142</v>
      </c>
      <c r="G60" t="s">
        <v>25</v>
      </c>
      <c r="H60" t="s">
        <v>143</v>
      </c>
      <c r="I60" t="s">
        <v>27</v>
      </c>
      <c r="J60" s="6">
        <v>1421.12</v>
      </c>
      <c r="K60" s="6">
        <v>543.17</v>
      </c>
      <c r="L60" s="6">
        <v>0</v>
      </c>
      <c r="M60" s="6">
        <v>1964.29</v>
      </c>
      <c r="N60" s="6">
        <v>129.64</v>
      </c>
      <c r="O60" s="6">
        <v>0</v>
      </c>
      <c r="P60" s="6">
        <v>0</v>
      </c>
      <c r="Q60" s="6">
        <v>1834.65</v>
      </c>
      <c r="R60" s="6">
        <f>M60-N60-O60</f>
      </c>
      <c r="S60" s="6">
        <f>Q60</f>
      </c>
      <c r="T60" s="7">
        <v>46112.125</v>
      </c>
      <c r="U60" s="6">
        <f>M60-N60-O60-P60-Q60</f>
      </c>
      <c r="V60">
        <v>5952</v>
      </c>
      <c r="W60" s="8">
        <v>0.0465</v>
      </c>
    </row>
    <row r="61" spans="1:23" x14ac:dyDescent="0.25">
      <c r="A61" s="5">
        <v>46082.125</v>
      </c>
      <c r="B61" s="5">
        <v>46054.125</v>
      </c>
      <c r="C61" s="5">
        <v>46082.125</v>
      </c>
      <c r="D61">
        <v>82807</v>
      </c>
      <c r="E61">
        <v>48179</v>
      </c>
      <c r="F61" t="s">
        <v>144</v>
      </c>
      <c r="G61" t="s">
        <v>25</v>
      </c>
      <c r="H61" t="s">
        <v>145</v>
      </c>
      <c r="I61" t="s">
        <v>30</v>
      </c>
      <c r="J61" s="6">
        <v>2344.3</v>
      </c>
      <c r="K61" s="6">
        <v>70.19</v>
      </c>
      <c r="L61" s="6">
        <v>0</v>
      </c>
      <c r="M61" s="6">
        <v>2414.49</v>
      </c>
      <c r="N61" s="6">
        <v>159.36</v>
      </c>
      <c r="O61" s="6">
        <v>0</v>
      </c>
      <c r="P61" s="6">
        <v>0</v>
      </c>
      <c r="Q61" s="6">
        <v>2255.13</v>
      </c>
      <c r="R61" s="6">
        <f>M61-N61-O61</f>
      </c>
      <c r="S61" s="6">
        <f>Q61</f>
      </c>
      <c r="T61" s="7">
        <v>46112.125</v>
      </c>
      <c r="U61" s="6">
        <f>M61-N61-O61-P61-Q61</f>
      </c>
      <c r="V61">
        <v>5952</v>
      </c>
      <c r="W61" s="8">
        <v>0.0465</v>
      </c>
    </row>
    <row r="62" spans="1:23" x14ac:dyDescent="0.25">
      <c r="A62" s="5">
        <v>46082.125</v>
      </c>
      <c r="B62" s="5">
        <v>46054.125</v>
      </c>
      <c r="C62" s="5">
        <v>46082.125</v>
      </c>
      <c r="D62">
        <v>15917</v>
      </c>
      <c r="E62">
        <v>48182</v>
      </c>
      <c r="F62" t="s">
        <v>146</v>
      </c>
      <c r="G62" t="s">
        <v>25</v>
      </c>
      <c r="H62" t="s">
        <v>147</v>
      </c>
      <c r="I62" t="s">
        <v>27</v>
      </c>
      <c r="J62" s="6">
        <v>836.89</v>
      </c>
      <c r="K62" s="6">
        <v>197.55</v>
      </c>
      <c r="L62" s="6">
        <v>0</v>
      </c>
      <c r="M62" s="6">
        <v>1034.44</v>
      </c>
      <c r="N62" s="6">
        <v>68.27</v>
      </c>
      <c r="O62" s="6">
        <v>0</v>
      </c>
      <c r="P62" s="6">
        <v>0</v>
      </c>
      <c r="Q62" s="6">
        <v>966.17</v>
      </c>
      <c r="R62" s="6">
        <f>M62-N62-O62</f>
      </c>
      <c r="S62" s="6">
        <f>Q62</f>
      </c>
      <c r="T62" s="7">
        <v>46112.125</v>
      </c>
      <c r="U62" s="6">
        <f>M62-N62-O62-P62-Q62</f>
      </c>
      <c r="V62">
        <v>5952</v>
      </c>
      <c r="W62" s="8">
        <v>0.0465</v>
      </c>
    </row>
    <row r="63" spans="1:23" x14ac:dyDescent="0.25">
      <c r="A63" s="5">
        <v>46082.125</v>
      </c>
      <c r="B63" s="5">
        <v>46054.125</v>
      </c>
      <c r="C63" s="5">
        <v>46082.125</v>
      </c>
      <c r="D63">
        <v>15262</v>
      </c>
      <c r="E63">
        <v>48183</v>
      </c>
      <c r="F63" t="s">
        <v>148</v>
      </c>
      <c r="G63" t="s">
        <v>25</v>
      </c>
      <c r="H63" t="s">
        <v>149</v>
      </c>
      <c r="I63" t="s">
        <v>27</v>
      </c>
      <c r="J63" s="6">
        <v>439.79</v>
      </c>
      <c r="K63" s="6">
        <v>199.49</v>
      </c>
      <c r="L63" s="6">
        <v>0</v>
      </c>
      <c r="M63" s="6">
        <v>639.28</v>
      </c>
      <c r="N63" s="6">
        <v>42.19</v>
      </c>
      <c r="O63" s="6">
        <v>0</v>
      </c>
      <c r="P63" s="6">
        <v>0</v>
      </c>
      <c r="Q63" s="6">
        <v>597.09</v>
      </c>
      <c r="R63" s="6">
        <f>M63-N63-O63</f>
      </c>
      <c r="S63" s="6">
        <f>Q63</f>
      </c>
      <c r="T63" s="7">
        <v>46112.125</v>
      </c>
      <c r="U63" s="6">
        <f>M63-N63-O63-P63-Q63</f>
      </c>
      <c r="V63">
        <v>5952</v>
      </c>
      <c r="W63" s="8">
        <v>0.0465</v>
      </c>
    </row>
    <row r="64" spans="1:23" x14ac:dyDescent="0.25">
      <c r="A64" s="5">
        <v>46082.125</v>
      </c>
      <c r="B64" s="5">
        <v>46054.125</v>
      </c>
      <c r="C64" s="5">
        <v>46082.125</v>
      </c>
      <c r="D64">
        <v>15877</v>
      </c>
      <c r="E64">
        <v>48195</v>
      </c>
      <c r="F64" t="s">
        <v>150</v>
      </c>
      <c r="G64" t="s">
        <v>25</v>
      </c>
      <c r="H64" t="s">
        <v>151</v>
      </c>
      <c r="I64" t="s">
        <v>27</v>
      </c>
      <c r="J64" s="6">
        <v>455.21</v>
      </c>
      <c r="K64" s="6">
        <v>0</v>
      </c>
      <c r="L64" s="6">
        <v>0</v>
      </c>
      <c r="M64" s="6">
        <v>455.21</v>
      </c>
      <c r="N64" s="6">
        <v>30.04</v>
      </c>
      <c r="O64" s="6">
        <v>0</v>
      </c>
      <c r="P64" s="6">
        <v>0</v>
      </c>
      <c r="Q64" s="6">
        <v>425.17</v>
      </c>
      <c r="R64" s="6">
        <f>M64-N64-O64</f>
      </c>
      <c r="S64" s="6">
        <f>Q64</f>
      </c>
      <c r="T64" s="7">
        <v>46112.125</v>
      </c>
      <c r="U64" s="6">
        <f>M64-N64-O64-P64-Q64</f>
      </c>
      <c r="V64">
        <v>5952</v>
      </c>
      <c r="W64" s="8">
        <v>0.0465</v>
      </c>
    </row>
    <row r="65" spans="1:23" x14ac:dyDescent="0.25">
      <c r="A65" s="5">
        <v>46082.125</v>
      </c>
      <c r="B65" s="5">
        <v>46054.125</v>
      </c>
      <c r="C65" s="5">
        <v>46082.125</v>
      </c>
      <c r="D65">
        <v>82903</v>
      </c>
      <c r="E65">
        <v>48196</v>
      </c>
      <c r="F65" t="s">
        <v>152</v>
      </c>
      <c r="G65" t="s">
        <v>25</v>
      </c>
      <c r="H65" t="s">
        <v>153</v>
      </c>
      <c r="I65" t="s">
        <v>27</v>
      </c>
      <c r="J65" s="6">
        <v>305.89</v>
      </c>
      <c r="K65" s="6">
        <v>0</v>
      </c>
      <c r="L65" s="6">
        <v>0</v>
      </c>
      <c r="M65" s="6">
        <v>305.89</v>
      </c>
      <c r="N65" s="6">
        <v>20.19</v>
      </c>
      <c r="O65" s="6">
        <v>0</v>
      </c>
      <c r="P65" s="6">
        <v>0</v>
      </c>
      <c r="Q65" s="6">
        <v>285.7</v>
      </c>
      <c r="R65" s="6">
        <f>M65-N65-O65</f>
      </c>
      <c r="S65" s="6">
        <f>Q65</f>
      </c>
      <c r="T65" s="7">
        <v>46112.125</v>
      </c>
      <c r="U65" s="6">
        <f>M65-N65-O65-P65-Q65</f>
      </c>
      <c r="V65">
        <v>5952</v>
      </c>
      <c r="W65" s="8">
        <v>0.0465</v>
      </c>
    </row>
    <row r="66" spans="1:23" x14ac:dyDescent="0.25">
      <c r="A66" s="5">
        <v>46082.125</v>
      </c>
      <c r="B66" s="5">
        <v>46054.125</v>
      </c>
      <c r="C66" s="5">
        <v>46082.125</v>
      </c>
      <c r="D66">
        <v>15333</v>
      </c>
      <c r="E66">
        <v>48197</v>
      </c>
      <c r="F66" t="s">
        <v>154</v>
      </c>
      <c r="G66" t="s">
        <v>25</v>
      </c>
      <c r="H66" t="s">
        <v>155</v>
      </c>
      <c r="I66" t="s">
        <v>64</v>
      </c>
      <c r="J66" s="6">
        <v>2526.88</v>
      </c>
      <c r="K66" s="6">
        <v>58.32</v>
      </c>
      <c r="L66" s="6">
        <v>0</v>
      </c>
      <c r="M66" s="6">
        <v>2585.2</v>
      </c>
      <c r="N66" s="6">
        <v>170.62</v>
      </c>
      <c r="O66" s="6">
        <v>51.7</v>
      </c>
      <c r="P66" s="6">
        <v>0</v>
      </c>
      <c r="Q66" s="6">
        <v>2362.88</v>
      </c>
      <c r="R66" s="6">
        <f>M66-N66-O66</f>
      </c>
      <c r="S66" s="6">
        <f>Q66</f>
      </c>
      <c r="T66" s="7">
        <v>46112.125</v>
      </c>
      <c r="U66" s="6">
        <f>M66-N66-O66-P66-Q66</f>
      </c>
      <c r="V66">
        <v>5952</v>
      </c>
      <c r="W66" s="8">
        <v>0.0465</v>
      </c>
    </row>
    <row r="67" spans="1:23" x14ac:dyDescent="0.25">
      <c r="A67" s="5">
        <v>46082.125</v>
      </c>
      <c r="B67" s="5">
        <v>46054.125</v>
      </c>
      <c r="C67" s="5">
        <v>46082.125</v>
      </c>
      <c r="D67">
        <v>15505</v>
      </c>
      <c r="E67">
        <v>48198</v>
      </c>
      <c r="F67" t="s">
        <v>156</v>
      </c>
      <c r="G67" t="s">
        <v>25</v>
      </c>
      <c r="H67" t="s">
        <v>157</v>
      </c>
      <c r="I67" t="s">
        <v>27</v>
      </c>
      <c r="J67" s="6">
        <v>93.71</v>
      </c>
      <c r="K67" s="6">
        <v>0</v>
      </c>
      <c r="L67" s="6">
        <v>0</v>
      </c>
      <c r="M67" s="6">
        <v>93.71</v>
      </c>
      <c r="N67" s="6">
        <v>6.18</v>
      </c>
      <c r="O67" s="6">
        <v>0</v>
      </c>
      <c r="P67" s="6">
        <v>0</v>
      </c>
      <c r="Q67" s="6">
        <v>87.53</v>
      </c>
      <c r="R67" s="6">
        <f>M67-N67-O67</f>
      </c>
      <c r="S67" s="6">
        <f>Q67</f>
      </c>
      <c r="T67" s="7">
        <v>46112.125</v>
      </c>
      <c r="U67" s="6">
        <f>M67-N67-O67-P67-Q67</f>
      </c>
      <c r="V67">
        <v>5952</v>
      </c>
      <c r="W67" s="8">
        <v>0.0465</v>
      </c>
    </row>
    <row r="68" spans="1:23" x14ac:dyDescent="0.25">
      <c r="A68" s="5">
        <v>46082.125</v>
      </c>
      <c r="B68" s="5">
        <v>46054.125</v>
      </c>
      <c r="C68" s="5">
        <v>46082.125</v>
      </c>
      <c r="D68">
        <v>3316</v>
      </c>
      <c r="E68">
        <v>48199</v>
      </c>
      <c r="F68" t="s">
        <v>158</v>
      </c>
      <c r="G68" t="s">
        <v>25</v>
      </c>
      <c r="H68" t="s">
        <v>159</v>
      </c>
      <c r="I68" t="s">
        <v>64</v>
      </c>
      <c r="J68" s="6">
        <v>881.45</v>
      </c>
      <c r="K68" s="6">
        <v>1351.36</v>
      </c>
      <c r="L68" s="6">
        <v>0</v>
      </c>
      <c r="M68" s="6">
        <v>2232.81</v>
      </c>
      <c r="N68" s="6">
        <v>147.37</v>
      </c>
      <c r="O68" s="6">
        <v>44.66</v>
      </c>
      <c r="P68" s="6">
        <v>0</v>
      </c>
      <c r="Q68" s="6">
        <v>2040.78</v>
      </c>
      <c r="R68" s="6">
        <f>M68-N68-O68</f>
      </c>
      <c r="S68" s="6">
        <f>Q68</f>
      </c>
      <c r="T68" s="7">
        <v>46112.125</v>
      </c>
      <c r="U68" s="6">
        <f>M68-N68-O68-P68-Q68</f>
      </c>
      <c r="V68">
        <v>5952</v>
      </c>
      <c r="W68" s="8">
        <v>0.0465</v>
      </c>
    </row>
    <row r="69" spans="1:23" x14ac:dyDescent="0.25">
      <c r="A69" s="5">
        <v>46082.125</v>
      </c>
      <c r="B69" s="5">
        <v>46054.125</v>
      </c>
      <c r="C69" s="5">
        <v>46082.125</v>
      </c>
      <c r="D69">
        <v>10093</v>
      </c>
      <c r="E69">
        <v>48203</v>
      </c>
      <c r="F69" t="s">
        <v>160</v>
      </c>
      <c r="G69" t="s">
        <v>25</v>
      </c>
      <c r="H69" t="s">
        <v>161</v>
      </c>
      <c r="I69" t="s">
        <v>30</v>
      </c>
      <c r="J69" s="6">
        <v>573.21</v>
      </c>
      <c r="K69" s="6">
        <v>117.94</v>
      </c>
      <c r="L69" s="6">
        <v>0</v>
      </c>
      <c r="M69" s="6">
        <v>691.15</v>
      </c>
      <c r="N69" s="6">
        <v>45.62</v>
      </c>
      <c r="O69" s="6">
        <v>0</v>
      </c>
      <c r="P69" s="6">
        <v>0</v>
      </c>
      <c r="Q69" s="6">
        <v>645.53</v>
      </c>
      <c r="R69" s="6">
        <f>M69-N69-O69</f>
      </c>
      <c r="S69" s="6">
        <f>Q69</f>
      </c>
      <c r="T69" s="7">
        <v>46112.125</v>
      </c>
      <c r="U69" s="6">
        <f>M69-N69-O69-P69-Q69</f>
      </c>
      <c r="V69">
        <v>5952</v>
      </c>
      <c r="W69" s="8">
        <v>0.0465</v>
      </c>
    </row>
    <row r="70" spans="1:23" x14ac:dyDescent="0.25">
      <c r="A70" s="5">
        <v>46082.125</v>
      </c>
      <c r="B70" s="5">
        <v>46054.125</v>
      </c>
      <c r="C70" s="5">
        <v>46082.125</v>
      </c>
      <c r="D70">
        <v>15267</v>
      </c>
      <c r="E70">
        <v>48205</v>
      </c>
      <c r="F70" t="s">
        <v>162</v>
      </c>
      <c r="G70" t="s">
        <v>25</v>
      </c>
      <c r="H70" t="s">
        <v>163</v>
      </c>
      <c r="I70" t="s">
        <v>64</v>
      </c>
      <c r="J70" s="6">
        <v>392.71</v>
      </c>
      <c r="K70" s="6">
        <v>662.57</v>
      </c>
      <c r="L70" s="6">
        <v>0</v>
      </c>
      <c r="M70" s="6">
        <v>1055.28</v>
      </c>
      <c r="N70" s="6">
        <v>69.65</v>
      </c>
      <c r="O70" s="6">
        <v>21.11</v>
      </c>
      <c r="P70" s="6">
        <v>0</v>
      </c>
      <c r="Q70" s="6">
        <v>964.52</v>
      </c>
      <c r="R70" s="6">
        <f>M70-N70-O70</f>
      </c>
      <c r="S70" s="6">
        <f>Q70</f>
      </c>
      <c r="T70" s="7">
        <v>46112.125</v>
      </c>
      <c r="U70" s="6">
        <f>M70-N70-O70-P70-Q70</f>
      </c>
      <c r="V70">
        <v>5952</v>
      </c>
      <c r="W70" s="8">
        <v>0.0465</v>
      </c>
    </row>
    <row r="71" spans="1:23" x14ac:dyDescent="0.25">
      <c r="A71" s="5">
        <v>46082.125</v>
      </c>
      <c r="B71" s="5">
        <v>46054.125</v>
      </c>
      <c r="C71" s="5">
        <v>46082.125</v>
      </c>
      <c r="D71">
        <v>9811</v>
      </c>
      <c r="E71">
        <v>48206</v>
      </c>
      <c r="F71" t="s">
        <v>164</v>
      </c>
      <c r="G71" t="s">
        <v>25</v>
      </c>
      <c r="H71" t="s">
        <v>165</v>
      </c>
      <c r="I71" t="s">
        <v>64</v>
      </c>
      <c r="J71" s="6">
        <v>891.5</v>
      </c>
      <c r="K71" s="6">
        <v>1050.36</v>
      </c>
      <c r="L71" s="6">
        <v>0</v>
      </c>
      <c r="M71" s="6">
        <v>1941.86</v>
      </c>
      <c r="N71" s="6">
        <v>128.16</v>
      </c>
      <c r="O71" s="6">
        <v>38.84</v>
      </c>
      <c r="P71" s="6">
        <v>0</v>
      </c>
      <c r="Q71" s="6">
        <v>1774.86</v>
      </c>
      <c r="R71" s="6">
        <f>M71-N71-O71</f>
      </c>
      <c r="S71" s="6">
        <f>Q71</f>
      </c>
      <c r="T71" s="7">
        <v>46112.125</v>
      </c>
      <c r="U71" s="6">
        <f>M71-N71-O71-P71-Q71</f>
      </c>
      <c r="V71">
        <v>5952</v>
      </c>
      <c r="W71" s="8">
        <v>0.0465</v>
      </c>
    </row>
    <row r="72" spans="1:23" x14ac:dyDescent="0.25">
      <c r="A72" s="5">
        <v>46082.125</v>
      </c>
      <c r="B72" s="5">
        <v>46054.125</v>
      </c>
      <c r="C72" s="5">
        <v>46082.125</v>
      </c>
      <c r="D72">
        <v>15536</v>
      </c>
      <c r="E72">
        <v>48215</v>
      </c>
      <c r="F72" t="s">
        <v>166</v>
      </c>
      <c r="G72" t="s">
        <v>25</v>
      </c>
      <c r="H72" t="s">
        <v>167</v>
      </c>
      <c r="I72" t="s">
        <v>30</v>
      </c>
      <c r="J72" s="6">
        <v>529.8</v>
      </c>
      <c r="K72" s="6">
        <v>297.8</v>
      </c>
      <c r="L72" s="6">
        <v>0</v>
      </c>
      <c r="M72" s="6">
        <v>827.6</v>
      </c>
      <c r="N72" s="6">
        <v>54.62</v>
      </c>
      <c r="O72" s="6">
        <v>0</v>
      </c>
      <c r="P72" s="6">
        <v>0</v>
      </c>
      <c r="Q72" s="6">
        <v>772.98</v>
      </c>
      <c r="R72" s="6">
        <f>M72-N72-O72</f>
      </c>
      <c r="S72" s="6">
        <f>Q72</f>
      </c>
      <c r="T72" s="7">
        <v>46112.125</v>
      </c>
      <c r="U72" s="6">
        <f>M72-N72-O72-P72-Q72</f>
      </c>
      <c r="V72">
        <v>5952</v>
      </c>
      <c r="W72" s="8">
        <v>0.0465</v>
      </c>
    </row>
    <row r="73" spans="1:23" x14ac:dyDescent="0.25">
      <c r="A73" s="5">
        <v>46082.125</v>
      </c>
      <c r="B73" s="5">
        <v>46054.125</v>
      </c>
      <c r="C73" s="5">
        <v>46082.125</v>
      </c>
      <c r="D73">
        <v>8790</v>
      </c>
      <c r="E73">
        <v>48218</v>
      </c>
      <c r="F73" t="s">
        <v>168</v>
      </c>
      <c r="G73" t="s">
        <v>25</v>
      </c>
      <c r="H73" t="s">
        <v>169</v>
      </c>
      <c r="I73" t="s">
        <v>30</v>
      </c>
      <c r="J73" s="6">
        <v>1351.11</v>
      </c>
      <c r="K73" s="6">
        <v>356.76</v>
      </c>
      <c r="L73" s="6">
        <v>0</v>
      </c>
      <c r="M73" s="6">
        <v>1707.87</v>
      </c>
      <c r="N73" s="6">
        <v>112.72</v>
      </c>
      <c r="O73" s="6">
        <v>0</v>
      </c>
      <c r="P73" s="6">
        <v>0</v>
      </c>
      <c r="Q73" s="6">
        <v>1595.15</v>
      </c>
      <c r="R73" s="6">
        <f>M73-N73-O73</f>
      </c>
      <c r="S73" s="6">
        <f>Q73</f>
      </c>
      <c r="T73" s="7">
        <v>46112.125</v>
      </c>
      <c r="U73" s="6">
        <f>M73-N73-O73-P73-Q73</f>
      </c>
      <c r="V73">
        <v>5952</v>
      </c>
      <c r="W73" s="8">
        <v>0.0465</v>
      </c>
    </row>
    <row r="74" spans="1:23" x14ac:dyDescent="0.25">
      <c r="A74" s="5">
        <v>46082.125</v>
      </c>
      <c r="B74" s="5">
        <v>46054.125</v>
      </c>
      <c r="C74" s="5">
        <v>46082.125</v>
      </c>
      <c r="D74">
        <v>16016</v>
      </c>
      <c r="E74">
        <v>48237</v>
      </c>
      <c r="F74" t="s">
        <v>170</v>
      </c>
      <c r="G74" t="s">
        <v>25</v>
      </c>
      <c r="H74" t="s">
        <v>171</v>
      </c>
      <c r="I74" t="s">
        <v>27</v>
      </c>
      <c r="J74" s="6">
        <v>1177.8</v>
      </c>
      <c r="K74" s="6">
        <v>261.8</v>
      </c>
      <c r="L74" s="6">
        <v>0</v>
      </c>
      <c r="M74" s="6">
        <v>1439.6</v>
      </c>
      <c r="N74" s="6">
        <v>95.01</v>
      </c>
      <c r="O74" s="6">
        <v>0</v>
      </c>
      <c r="P74" s="6">
        <v>0</v>
      </c>
      <c r="Q74" s="6">
        <v>1344.59</v>
      </c>
      <c r="R74" s="6">
        <f>M74-N74-O74</f>
      </c>
      <c r="S74" s="6">
        <f>Q74</f>
      </c>
      <c r="T74" s="7">
        <v>46112.125</v>
      </c>
      <c r="U74" s="6">
        <f>M74-N74-O74-P74-Q74</f>
      </c>
      <c r="V74">
        <v>5952</v>
      </c>
      <c r="W74" s="8">
        <v>0.0465</v>
      </c>
    </row>
    <row r="75" spans="1:23" x14ac:dyDescent="0.25">
      <c r="A75" s="5">
        <v>46082.125</v>
      </c>
      <c r="B75" s="5">
        <v>46082.125</v>
      </c>
      <c r="C75" s="5">
        <v>46082.125</v>
      </c>
      <c r="D75">
        <v>7474</v>
      </c>
      <c r="E75">
        <v>48238</v>
      </c>
      <c r="F75" t="s">
        <v>172</v>
      </c>
      <c r="G75" t="s">
        <v>25</v>
      </c>
      <c r="H75" t="s">
        <v>173</v>
      </c>
      <c r="I75" t="s">
        <v>174</v>
      </c>
      <c r="J75" s="6">
        <v>22.67</v>
      </c>
      <c r="K75" s="6">
        <v>0</v>
      </c>
      <c r="L75" s="6">
        <v>0</v>
      </c>
      <c r="M75" s="6">
        <v>22.67</v>
      </c>
      <c r="N75" s="6">
        <v>1.5</v>
      </c>
      <c r="O75" s="6">
        <v>0.45</v>
      </c>
      <c r="P75" s="6">
        <v>0</v>
      </c>
      <c r="Q75" s="6">
        <v>20.72</v>
      </c>
      <c r="R75" s="6">
        <f>M75-N75-O75</f>
      </c>
      <c r="S75" s="6">
        <f>Q75</f>
      </c>
      <c r="T75" s="7">
        <v>46112.125</v>
      </c>
      <c r="U75" s="6">
        <f>M75-N75-O75-P75-Q75</f>
      </c>
      <c r="V75">
        <v>5952</v>
      </c>
      <c r="W75" s="8">
        <v>0.0465</v>
      </c>
    </row>
    <row r="76" spans="1:23" x14ac:dyDescent="0.25">
      <c r="A76" s="5">
        <v>46082.125</v>
      </c>
      <c r="B76" s="5">
        <v>46082.125</v>
      </c>
      <c r="C76" s="5">
        <v>46082.125</v>
      </c>
      <c r="D76">
        <v>82865</v>
      </c>
      <c r="E76">
        <v>48239</v>
      </c>
      <c r="F76" t="s">
        <v>175</v>
      </c>
      <c r="G76" t="s">
        <v>25</v>
      </c>
      <c r="H76" t="s">
        <v>176</v>
      </c>
      <c r="I76" t="s">
        <v>177</v>
      </c>
      <c r="J76" s="6">
        <v>39.59</v>
      </c>
      <c r="K76" s="6">
        <v>0</v>
      </c>
      <c r="L76" s="6">
        <v>0</v>
      </c>
      <c r="M76" s="6">
        <v>39.59</v>
      </c>
      <c r="N76" s="6">
        <v>2.61</v>
      </c>
      <c r="O76" s="6">
        <v>0.79</v>
      </c>
      <c r="P76" s="6">
        <v>0</v>
      </c>
      <c r="Q76" s="6">
        <v>36.19</v>
      </c>
      <c r="R76" s="6">
        <f>M76-N76-O76</f>
      </c>
      <c r="S76" s="6">
        <f>Q76</f>
      </c>
      <c r="T76" s="7">
        <v>46112.125</v>
      </c>
      <c r="U76" s="6">
        <f>M76-N76-O76-P76-Q76</f>
      </c>
      <c r="V76">
        <v>5952</v>
      </c>
      <c r="W76" s="8">
        <v>0.0465</v>
      </c>
    </row>
    <row r="77" spans="1:23" x14ac:dyDescent="0.25">
      <c r="A77" s="5">
        <v>46082.125</v>
      </c>
      <c r="B77" s="5">
        <v>46082.125</v>
      </c>
      <c r="C77" s="5">
        <v>46082.125</v>
      </c>
      <c r="D77">
        <v>15927</v>
      </c>
      <c r="E77">
        <v>48240</v>
      </c>
      <c r="F77" t="s">
        <v>178</v>
      </c>
      <c r="G77" t="s">
        <v>25</v>
      </c>
      <c r="H77" t="s">
        <v>179</v>
      </c>
      <c r="I77" t="s">
        <v>177</v>
      </c>
      <c r="J77" s="6">
        <v>1795.59</v>
      </c>
      <c r="K77" s="6">
        <v>1005.87</v>
      </c>
      <c r="L77" s="6">
        <v>0</v>
      </c>
      <c r="M77" s="6">
        <v>2801.46</v>
      </c>
      <c r="N77" s="6">
        <v>184.9</v>
      </c>
      <c r="O77" s="6">
        <v>56.03</v>
      </c>
      <c r="P77" s="6">
        <v>0</v>
      </c>
      <c r="Q77" s="6">
        <v>2560.53</v>
      </c>
      <c r="R77" s="6">
        <f>M77-N77-O77</f>
      </c>
      <c r="S77" s="6">
        <f>Q77</f>
      </c>
      <c r="T77" s="7">
        <v>46112.125</v>
      </c>
      <c r="U77" s="6">
        <f>M77-N77-O77-P77-Q77</f>
      </c>
      <c r="V77">
        <v>5952</v>
      </c>
      <c r="W77" s="8">
        <v>0.0465</v>
      </c>
    </row>
    <row r="78" spans="1:23" x14ac:dyDescent="0.25">
      <c r="A78" s="5">
        <v>46082.125</v>
      </c>
      <c r="B78" s="5">
        <v>46082.125</v>
      </c>
      <c r="C78" s="5">
        <v>46082.125</v>
      </c>
      <c r="D78">
        <v>82879</v>
      </c>
      <c r="E78">
        <v>48241</v>
      </c>
      <c r="F78" t="s">
        <v>180</v>
      </c>
      <c r="G78" t="s">
        <v>25</v>
      </c>
      <c r="H78" t="s">
        <v>181</v>
      </c>
      <c r="I78" t="s">
        <v>177</v>
      </c>
      <c r="J78" s="6">
        <v>390.89</v>
      </c>
      <c r="K78" s="6">
        <v>352.54</v>
      </c>
      <c r="L78" s="6">
        <v>0</v>
      </c>
      <c r="M78" s="6">
        <v>743.43</v>
      </c>
      <c r="N78" s="6">
        <v>49.07</v>
      </c>
      <c r="O78" s="6">
        <v>14.87</v>
      </c>
      <c r="P78" s="6">
        <v>0</v>
      </c>
      <c r="Q78" s="6">
        <v>679.49</v>
      </c>
      <c r="R78" s="6">
        <f>M78-N78-O78</f>
      </c>
      <c r="S78" s="6">
        <f>Q78</f>
      </c>
      <c r="T78" s="7">
        <v>46112.125</v>
      </c>
      <c r="U78" s="6">
        <f>M78-N78-O78-P78-Q78</f>
      </c>
      <c r="V78">
        <v>5952</v>
      </c>
      <c r="W78" s="8">
        <v>0.0465</v>
      </c>
    </row>
    <row r="79" spans="1:23" x14ac:dyDescent="0.25">
      <c r="A79" s="5">
        <v>46082.125</v>
      </c>
      <c r="B79" s="5">
        <v>46082.125</v>
      </c>
      <c r="C79" s="5">
        <v>46082.125</v>
      </c>
      <c r="D79">
        <v>2407</v>
      </c>
      <c r="E79">
        <v>48242</v>
      </c>
      <c r="F79" t="s">
        <v>182</v>
      </c>
      <c r="G79" t="s">
        <v>25</v>
      </c>
      <c r="H79" t="s">
        <v>173</v>
      </c>
      <c r="I79" t="s">
        <v>174</v>
      </c>
      <c r="J79" s="6">
        <v>620.78</v>
      </c>
      <c r="K79" s="6">
        <v>503.2</v>
      </c>
      <c r="L79" s="6">
        <v>0</v>
      </c>
      <c r="M79" s="6">
        <v>1123.98</v>
      </c>
      <c r="N79" s="6">
        <v>74.18</v>
      </c>
      <c r="O79" s="6">
        <v>22.48</v>
      </c>
      <c r="P79" s="6">
        <v>0</v>
      </c>
      <c r="Q79" s="6">
        <v>1027.32</v>
      </c>
      <c r="R79" s="6">
        <f>M79-N79-O79</f>
      </c>
      <c r="S79" s="6">
        <f>Q79</f>
      </c>
      <c r="T79" s="7">
        <v>46112.125</v>
      </c>
      <c r="U79" s="6">
        <f>M79-N79-O79-P79-Q79</f>
      </c>
      <c r="V79">
        <v>5952</v>
      </c>
      <c r="W79" s="8">
        <v>0.0465</v>
      </c>
    </row>
    <row r="80" spans="1:23" x14ac:dyDescent="0.25">
      <c r="A80" s="5">
        <v>46082.125</v>
      </c>
      <c r="B80" s="5">
        <v>46082.125</v>
      </c>
      <c r="C80" s="5">
        <v>46082.125</v>
      </c>
      <c r="D80">
        <v>15514</v>
      </c>
      <c r="E80">
        <v>48243</v>
      </c>
      <c r="F80" t="s">
        <v>183</v>
      </c>
      <c r="G80" t="s">
        <v>25</v>
      </c>
      <c r="H80" t="s">
        <v>184</v>
      </c>
      <c r="I80" t="s">
        <v>177</v>
      </c>
      <c r="J80" s="6">
        <v>720.88</v>
      </c>
      <c r="K80" s="6">
        <v>814.76</v>
      </c>
      <c r="L80" s="6">
        <v>0</v>
      </c>
      <c r="M80" s="6">
        <v>1535.64</v>
      </c>
      <c r="N80" s="6">
        <v>101.35</v>
      </c>
      <c r="O80" s="6">
        <v>30.71</v>
      </c>
      <c r="P80" s="6">
        <v>0</v>
      </c>
      <c r="Q80" s="6">
        <v>1403.58</v>
      </c>
      <c r="R80" s="6">
        <f>M80-N80-O80</f>
      </c>
      <c r="S80" s="6">
        <f>Q80</f>
      </c>
      <c r="T80" s="7">
        <v>46112.125</v>
      </c>
      <c r="U80" s="6">
        <f>M80-N80-O80-P80-Q80</f>
      </c>
      <c r="V80">
        <v>5952</v>
      </c>
      <c r="W80" s="8">
        <v>0.0465</v>
      </c>
    </row>
    <row r="81" spans="1:23" x14ac:dyDescent="0.25">
      <c r="A81" s="5">
        <v>46082.125</v>
      </c>
      <c r="B81" s="5">
        <v>46082.125</v>
      </c>
      <c r="C81" s="5">
        <v>46082.125</v>
      </c>
      <c r="D81">
        <v>15567</v>
      </c>
      <c r="E81">
        <v>48244</v>
      </c>
      <c r="F81" t="s">
        <v>185</v>
      </c>
      <c r="G81" t="s">
        <v>25</v>
      </c>
      <c r="H81" t="s">
        <v>186</v>
      </c>
      <c r="I81" t="s">
        <v>177</v>
      </c>
      <c r="J81" s="6">
        <v>179.12</v>
      </c>
      <c r="K81" s="6">
        <v>167.55</v>
      </c>
      <c r="L81" s="6">
        <v>0</v>
      </c>
      <c r="M81" s="6">
        <v>346.67</v>
      </c>
      <c r="N81" s="6">
        <v>22.88</v>
      </c>
      <c r="O81" s="6">
        <v>6.93</v>
      </c>
      <c r="P81" s="6">
        <v>0</v>
      </c>
      <c r="Q81" s="6">
        <v>316.86</v>
      </c>
      <c r="R81" s="6">
        <f>M81-N81-O81</f>
      </c>
      <c r="S81" s="6">
        <f>Q81</f>
      </c>
      <c r="T81" s="7">
        <v>46112.125</v>
      </c>
      <c r="U81" s="6">
        <f>M81-N81-O81-P81-Q81</f>
      </c>
      <c r="V81">
        <v>5952</v>
      </c>
      <c r="W81" s="8">
        <v>0.0465</v>
      </c>
    </row>
    <row r="82" spans="1:23" x14ac:dyDescent="0.25">
      <c r="A82" s="5">
        <v>46082.125</v>
      </c>
      <c r="B82" s="5">
        <v>46082.125</v>
      </c>
      <c r="C82" s="5">
        <v>46082.125</v>
      </c>
      <c r="D82">
        <v>15732</v>
      </c>
      <c r="E82">
        <v>48246</v>
      </c>
      <c r="F82" t="s">
        <v>187</v>
      </c>
      <c r="G82" t="s">
        <v>25</v>
      </c>
      <c r="H82" t="s">
        <v>176</v>
      </c>
      <c r="I82" t="s">
        <v>188</v>
      </c>
      <c r="J82" s="6">
        <v>1520.29</v>
      </c>
      <c r="K82" s="6">
        <v>1015.39</v>
      </c>
      <c r="L82" s="6">
        <v>0</v>
      </c>
      <c r="M82" s="6">
        <v>2535.68</v>
      </c>
      <c r="N82" s="6">
        <v>167.35</v>
      </c>
      <c r="O82" s="6">
        <v>0</v>
      </c>
      <c r="P82" s="6">
        <v>0</v>
      </c>
      <c r="Q82" s="6">
        <v>2368.33</v>
      </c>
      <c r="R82" s="6">
        <f>M82-N82-O82</f>
      </c>
      <c r="S82" s="6">
        <f>Q82</f>
      </c>
      <c r="T82" s="7">
        <v>46112.125</v>
      </c>
      <c r="U82" s="6">
        <f>M82-N82-O82-P82-Q82</f>
      </c>
      <c r="V82">
        <v>5952</v>
      </c>
      <c r="W82" s="8">
        <v>0.0465</v>
      </c>
    </row>
    <row r="83" spans="1:23" x14ac:dyDescent="0.25">
      <c r="A83" s="5">
        <v>46082.125</v>
      </c>
      <c r="B83" s="5">
        <v>46082.125</v>
      </c>
      <c r="C83" s="5">
        <v>46082.125</v>
      </c>
      <c r="D83">
        <v>16018</v>
      </c>
      <c r="E83">
        <v>48247</v>
      </c>
      <c r="F83" t="s">
        <v>189</v>
      </c>
      <c r="G83" t="s">
        <v>25</v>
      </c>
      <c r="H83" t="s">
        <v>190</v>
      </c>
      <c r="I83" t="s">
        <v>177</v>
      </c>
      <c r="J83" s="6">
        <v>1699.4199999999998</v>
      </c>
      <c r="K83" s="6">
        <v>1539.97</v>
      </c>
      <c r="L83" s="6">
        <v>0</v>
      </c>
      <c r="M83" s="6">
        <v>3239.39</v>
      </c>
      <c r="N83" s="6">
        <v>213.8</v>
      </c>
      <c r="O83" s="6">
        <v>64.79</v>
      </c>
      <c r="P83" s="6">
        <v>0</v>
      </c>
      <c r="Q83" s="6">
        <v>2960.8</v>
      </c>
      <c r="R83" s="6">
        <f>M83-N83-O83</f>
      </c>
      <c r="S83" s="6">
        <f>Q83</f>
      </c>
      <c r="T83" s="7">
        <v>46112.125</v>
      </c>
      <c r="U83" s="6">
        <f>M83-N83-O83-P83-Q83</f>
      </c>
      <c r="V83">
        <v>5952</v>
      </c>
      <c r="W83" s="8">
        <v>0.0465</v>
      </c>
    </row>
    <row r="84" spans="1:23" x14ac:dyDescent="0.25">
      <c r="A84" s="5">
        <v>46082.125</v>
      </c>
      <c r="B84" s="5">
        <v>46082.125</v>
      </c>
      <c r="C84" s="5">
        <v>46082.125</v>
      </c>
      <c r="D84">
        <v>82978</v>
      </c>
      <c r="E84">
        <v>48249</v>
      </c>
      <c r="F84" t="s">
        <v>191</v>
      </c>
      <c r="G84" t="s">
        <v>25</v>
      </c>
      <c r="H84" t="s">
        <v>192</v>
      </c>
      <c r="I84" t="s">
        <v>174</v>
      </c>
      <c r="J84" s="6">
        <v>338.72</v>
      </c>
      <c r="K84" s="6">
        <v>499.97</v>
      </c>
      <c r="L84" s="6">
        <v>0</v>
      </c>
      <c r="M84" s="6">
        <v>838.69</v>
      </c>
      <c r="N84" s="6">
        <v>55.35</v>
      </c>
      <c r="O84" s="6">
        <v>16.77</v>
      </c>
      <c r="P84" s="6">
        <v>0</v>
      </c>
      <c r="Q84" s="6">
        <v>766.57</v>
      </c>
      <c r="R84" s="6">
        <f>M84-N84-O84</f>
      </c>
      <c r="S84" s="6">
        <f>Q84</f>
      </c>
      <c r="T84" s="7">
        <v>46112.125</v>
      </c>
      <c r="U84" s="6">
        <f>M84-N84-O84-P84-Q84</f>
      </c>
      <c r="V84">
        <v>5952</v>
      </c>
      <c r="W84" s="8">
        <v>0.0465</v>
      </c>
    </row>
    <row r="85" spans="1:23" x14ac:dyDescent="0.25">
      <c r="A85" s="5">
        <v>46082.125</v>
      </c>
      <c r="B85" s="5">
        <v>46082.125</v>
      </c>
      <c r="C85" s="5">
        <v>46082.125</v>
      </c>
      <c r="D85">
        <v>82872</v>
      </c>
      <c r="E85">
        <v>48250</v>
      </c>
      <c r="F85" t="s">
        <v>193</v>
      </c>
      <c r="G85" t="s">
        <v>25</v>
      </c>
      <c r="H85" t="s">
        <v>194</v>
      </c>
      <c r="I85" t="s">
        <v>174</v>
      </c>
      <c r="J85" s="6">
        <v>817.77</v>
      </c>
      <c r="K85" s="6">
        <v>836.18</v>
      </c>
      <c r="L85" s="6">
        <v>0</v>
      </c>
      <c r="M85" s="6">
        <v>1653.95</v>
      </c>
      <c r="N85" s="6">
        <v>109.16</v>
      </c>
      <c r="O85" s="6">
        <v>33.08</v>
      </c>
      <c r="P85" s="6">
        <v>0</v>
      </c>
      <c r="Q85" s="6">
        <v>1511.71</v>
      </c>
      <c r="R85" s="6">
        <f>M85-N85-O85</f>
      </c>
      <c r="S85" s="6">
        <f>Q85</f>
      </c>
      <c r="T85" s="7">
        <v>46112.125</v>
      </c>
      <c r="U85" s="6">
        <f>M85-N85-O85-P85-Q85</f>
      </c>
      <c r="V85">
        <v>5952</v>
      </c>
      <c r="W85" s="8">
        <v>0.0465</v>
      </c>
    </row>
    <row r="86" spans="1:23" x14ac:dyDescent="0.25">
      <c r="A86" s="5">
        <v>46082.125</v>
      </c>
      <c r="B86" s="5">
        <v>46082.125</v>
      </c>
      <c r="C86" s="5">
        <v>46082.125</v>
      </c>
      <c r="D86">
        <v>82967</v>
      </c>
      <c r="E86">
        <v>48251</v>
      </c>
      <c r="F86" t="s">
        <v>195</v>
      </c>
      <c r="G86" t="s">
        <v>25</v>
      </c>
      <c r="H86" t="s">
        <v>196</v>
      </c>
      <c r="I86" t="s">
        <v>174</v>
      </c>
      <c r="J86" s="6">
        <v>73.4</v>
      </c>
      <c r="K86" s="6">
        <v>57.26</v>
      </c>
      <c r="L86" s="6">
        <v>0</v>
      </c>
      <c r="M86" s="6">
        <v>130.66</v>
      </c>
      <c r="N86" s="6">
        <v>8.62</v>
      </c>
      <c r="O86" s="6">
        <v>2.61</v>
      </c>
      <c r="P86" s="6">
        <v>0</v>
      </c>
      <c r="Q86" s="6">
        <v>119.43</v>
      </c>
      <c r="R86" s="6">
        <f>M86-N86-O86</f>
      </c>
      <c r="S86" s="6">
        <f>Q86</f>
      </c>
      <c r="T86" s="7">
        <v>46112.125</v>
      </c>
      <c r="U86" s="6">
        <f>M86-N86-O86-P86-Q86</f>
      </c>
      <c r="V86">
        <v>5952</v>
      </c>
      <c r="W86" s="8">
        <v>0.0465</v>
      </c>
    </row>
    <row r="87" spans="1:23" x14ac:dyDescent="0.25">
      <c r="A87" s="5">
        <v>46082.125</v>
      </c>
      <c r="B87" s="5">
        <v>46082.125</v>
      </c>
      <c r="C87" s="5">
        <v>46082.125</v>
      </c>
      <c r="D87">
        <v>82958</v>
      </c>
      <c r="E87">
        <v>48252</v>
      </c>
      <c r="F87" t="s">
        <v>197</v>
      </c>
      <c r="G87" t="s">
        <v>25</v>
      </c>
      <c r="H87" t="s">
        <v>198</v>
      </c>
      <c r="I87" t="s">
        <v>174</v>
      </c>
      <c r="J87" s="6">
        <v>78.69</v>
      </c>
      <c r="K87" s="6">
        <v>144.28</v>
      </c>
      <c r="L87" s="6">
        <v>0</v>
      </c>
      <c r="M87" s="6">
        <v>222.97</v>
      </c>
      <c r="N87" s="6">
        <v>14.72</v>
      </c>
      <c r="O87" s="6">
        <v>4.46</v>
      </c>
      <c r="P87" s="6">
        <v>0</v>
      </c>
      <c r="Q87" s="6">
        <v>203.79</v>
      </c>
      <c r="R87" s="6">
        <f>M87-N87-O87</f>
      </c>
      <c r="S87" s="6">
        <f>Q87</f>
      </c>
      <c r="T87" s="7">
        <v>46112.125</v>
      </c>
      <c r="U87" s="6">
        <f>M87-N87-O87-P87-Q87</f>
      </c>
      <c r="V87">
        <v>5952</v>
      </c>
      <c r="W87" s="8">
        <v>0.0465</v>
      </c>
    </row>
    <row r="88" spans="1:23" x14ac:dyDescent="0.25">
      <c r="A88" s="5">
        <v>46082.125</v>
      </c>
      <c r="B88" s="5">
        <v>46082.125</v>
      </c>
      <c r="C88" s="5">
        <v>46082.125</v>
      </c>
      <c r="D88">
        <v>82871</v>
      </c>
      <c r="E88">
        <v>48253</v>
      </c>
      <c r="F88" t="s">
        <v>199</v>
      </c>
      <c r="G88" t="s">
        <v>25</v>
      </c>
      <c r="H88" t="s">
        <v>200</v>
      </c>
      <c r="I88" t="s">
        <v>177</v>
      </c>
      <c r="J88" s="6">
        <v>1064.9699999999998</v>
      </c>
      <c r="K88" s="6">
        <v>949.65</v>
      </c>
      <c r="L88" s="6">
        <v>0</v>
      </c>
      <c r="M88" s="6">
        <v>2014.62</v>
      </c>
      <c r="N88" s="6">
        <v>132.96</v>
      </c>
      <c r="O88" s="6">
        <v>40.29</v>
      </c>
      <c r="P88" s="6">
        <v>0</v>
      </c>
      <c r="Q88" s="6">
        <v>1841.37</v>
      </c>
      <c r="R88" s="6">
        <f>M88-N88-O88</f>
      </c>
      <c r="S88" s="6">
        <f>Q88</f>
      </c>
      <c r="T88" s="7">
        <v>46112.125</v>
      </c>
      <c r="U88" s="6">
        <f>M88-N88-O88-P88-Q88</f>
      </c>
      <c r="V88">
        <v>5952</v>
      </c>
      <c r="W88" s="8">
        <v>0.0465</v>
      </c>
    </row>
    <row r="89" spans="1:23" x14ac:dyDescent="0.25">
      <c r="A89" s="5">
        <v>46082.125</v>
      </c>
      <c r="B89" s="5">
        <v>46082.125</v>
      </c>
      <c r="C89" s="5">
        <v>46082.125</v>
      </c>
      <c r="D89">
        <v>15767</v>
      </c>
      <c r="E89">
        <v>48254</v>
      </c>
      <c r="F89" t="s">
        <v>201</v>
      </c>
      <c r="G89" t="s">
        <v>25</v>
      </c>
      <c r="H89" t="s">
        <v>202</v>
      </c>
      <c r="I89" t="s">
        <v>177</v>
      </c>
      <c r="J89" s="6">
        <v>379.78</v>
      </c>
      <c r="K89" s="6">
        <v>422.67</v>
      </c>
      <c r="L89" s="6">
        <v>0</v>
      </c>
      <c r="M89" s="6">
        <v>802.45</v>
      </c>
      <c r="N89" s="6">
        <v>52.96</v>
      </c>
      <c r="O89" s="6">
        <v>16.05</v>
      </c>
      <c r="P89" s="6">
        <v>0</v>
      </c>
      <c r="Q89" s="6">
        <v>733.44</v>
      </c>
      <c r="R89" s="6">
        <f>M89-N89-O89</f>
      </c>
      <c r="S89" s="6">
        <f>Q89</f>
      </c>
      <c r="T89" s="7">
        <v>46112.125</v>
      </c>
      <c r="U89" s="6">
        <f>M89-N89-O89-P89-Q89</f>
      </c>
      <c r="V89">
        <v>5952</v>
      </c>
      <c r="W89" s="8">
        <v>0.0465</v>
      </c>
    </row>
    <row r="90" spans="1:23" x14ac:dyDescent="0.25">
      <c r="A90" s="5">
        <v>46082.125</v>
      </c>
      <c r="B90" s="5">
        <v>46082.125</v>
      </c>
      <c r="C90" s="5">
        <v>46082.125</v>
      </c>
      <c r="D90">
        <v>82873</v>
      </c>
      <c r="E90">
        <v>48255</v>
      </c>
      <c r="F90" t="s">
        <v>203</v>
      </c>
      <c r="G90" t="s">
        <v>25</v>
      </c>
      <c r="H90" t="s">
        <v>202</v>
      </c>
      <c r="I90" t="s">
        <v>177</v>
      </c>
      <c r="J90" s="6">
        <v>1468.86</v>
      </c>
      <c r="K90" s="6">
        <v>923.33</v>
      </c>
      <c r="L90" s="6">
        <v>0</v>
      </c>
      <c r="M90" s="6">
        <v>2392.19</v>
      </c>
      <c r="N90" s="6">
        <v>157.88</v>
      </c>
      <c r="O90" s="6">
        <v>47.84</v>
      </c>
      <c r="P90" s="6">
        <v>0</v>
      </c>
      <c r="Q90" s="6">
        <v>2186.47</v>
      </c>
      <c r="R90" s="6">
        <f>M90-N90-O90</f>
      </c>
      <c r="S90" s="6">
        <f>Q90</f>
      </c>
      <c r="T90" s="7">
        <v>46112.125</v>
      </c>
      <c r="U90" s="6">
        <f>M90-N90-O90-P90-Q90</f>
      </c>
      <c r="V90">
        <v>5952</v>
      </c>
      <c r="W90" s="8">
        <v>0.0465</v>
      </c>
    </row>
    <row r="91" spans="1:23" x14ac:dyDescent="0.25">
      <c r="A91" s="5">
        <v>46082.125</v>
      </c>
      <c r="B91" s="5">
        <v>46082.125</v>
      </c>
      <c r="C91" s="5">
        <v>46082.125</v>
      </c>
      <c r="D91">
        <v>82972</v>
      </c>
      <c r="E91">
        <v>48256</v>
      </c>
      <c r="F91" t="s">
        <v>204</v>
      </c>
      <c r="G91" t="s">
        <v>25</v>
      </c>
      <c r="H91" t="s">
        <v>205</v>
      </c>
      <c r="I91" t="s">
        <v>177</v>
      </c>
      <c r="J91" s="6">
        <v>72.98</v>
      </c>
      <c r="K91" s="6">
        <v>121.87</v>
      </c>
      <c r="L91" s="6">
        <v>0</v>
      </c>
      <c r="M91" s="6">
        <v>194.85</v>
      </c>
      <c r="N91" s="6">
        <v>12.86</v>
      </c>
      <c r="O91" s="6">
        <v>3.9</v>
      </c>
      <c r="P91" s="6">
        <v>0</v>
      </c>
      <c r="Q91" s="6">
        <v>178.09</v>
      </c>
      <c r="R91" s="6">
        <f>M91-N91-O91</f>
      </c>
      <c r="S91" s="6">
        <f>Q91</f>
      </c>
      <c r="T91" s="7">
        <v>46112.125</v>
      </c>
      <c r="U91" s="6">
        <f>M91-N91-O91-P91-Q91</f>
      </c>
      <c r="V91">
        <v>5952</v>
      </c>
      <c r="W91" s="8">
        <v>0.0465</v>
      </c>
    </row>
    <row r="92" spans="1:23" x14ac:dyDescent="0.25">
      <c r="A92" s="5">
        <v>46082.125</v>
      </c>
      <c r="B92" s="5">
        <v>46082.125</v>
      </c>
      <c r="C92" s="5">
        <v>46082.125</v>
      </c>
      <c r="D92">
        <v>83001</v>
      </c>
      <c r="E92">
        <v>48257</v>
      </c>
      <c r="F92" t="s">
        <v>206</v>
      </c>
      <c r="G92" t="s">
        <v>25</v>
      </c>
      <c r="H92" t="s">
        <v>207</v>
      </c>
      <c r="I92" t="s">
        <v>177</v>
      </c>
      <c r="J92" s="6">
        <v>8.79</v>
      </c>
      <c r="K92" s="6">
        <v>37.64</v>
      </c>
      <c r="L92" s="6">
        <v>0</v>
      </c>
      <c r="M92" s="6">
        <v>46.43</v>
      </c>
      <c r="N92" s="6">
        <v>3.06</v>
      </c>
      <c r="O92" s="6">
        <v>0.93</v>
      </c>
      <c r="P92" s="6">
        <v>0</v>
      </c>
      <c r="Q92" s="6">
        <v>42.44</v>
      </c>
      <c r="R92" s="6">
        <f>M92-N92-O92</f>
      </c>
      <c r="S92" s="6">
        <f>Q92</f>
      </c>
      <c r="T92" s="7">
        <v>46112.125</v>
      </c>
      <c r="U92" s="6">
        <f>M92-N92-O92-P92-Q92</f>
      </c>
      <c r="V92">
        <v>5952</v>
      </c>
      <c r="W92" s="8">
        <v>0.0465</v>
      </c>
    </row>
    <row r="93" spans="1:23" x14ac:dyDescent="0.25">
      <c r="A93" s="5">
        <v>46082.125</v>
      </c>
      <c r="B93" s="5">
        <v>46082.125</v>
      </c>
      <c r="C93" s="5">
        <v>46082.125</v>
      </c>
      <c r="D93">
        <v>8075</v>
      </c>
      <c r="E93">
        <v>48258</v>
      </c>
      <c r="F93" t="s">
        <v>208</v>
      </c>
      <c r="G93" t="s">
        <v>25</v>
      </c>
      <c r="H93" t="s">
        <v>209</v>
      </c>
      <c r="I93" t="s">
        <v>177</v>
      </c>
      <c r="J93" s="6">
        <v>372.73</v>
      </c>
      <c r="K93" s="6">
        <v>283.19</v>
      </c>
      <c r="L93" s="6">
        <v>0</v>
      </c>
      <c r="M93" s="6">
        <v>655.92</v>
      </c>
      <c r="N93" s="6">
        <v>43.29</v>
      </c>
      <c r="O93" s="6">
        <v>13.12</v>
      </c>
      <c r="P93" s="6">
        <v>0</v>
      </c>
      <c r="Q93" s="6">
        <v>599.51</v>
      </c>
      <c r="R93" s="6">
        <f>M93-N93-O93</f>
      </c>
      <c r="S93" s="6">
        <f>Q93</f>
      </c>
      <c r="T93" s="7">
        <v>46112.125</v>
      </c>
      <c r="U93" s="6">
        <f>M93-N93-O93-P93-Q93</f>
      </c>
      <c r="V93">
        <v>5952</v>
      </c>
      <c r="W93" s="8">
        <v>0.0465</v>
      </c>
    </row>
    <row r="94" spans="1:23" x14ac:dyDescent="0.25">
      <c r="A94" s="5">
        <v>46082.125</v>
      </c>
      <c r="B94" s="5">
        <v>46082.125</v>
      </c>
      <c r="C94" s="5">
        <v>46082.125</v>
      </c>
      <c r="D94">
        <v>15735</v>
      </c>
      <c r="E94">
        <v>48261</v>
      </c>
      <c r="F94" t="s">
        <v>210</v>
      </c>
      <c r="G94" t="s">
        <v>25</v>
      </c>
      <c r="H94" t="s">
        <v>211</v>
      </c>
      <c r="I94" t="s">
        <v>177</v>
      </c>
      <c r="J94" s="6">
        <v>108.85</v>
      </c>
      <c r="K94" s="6">
        <v>174.78</v>
      </c>
      <c r="L94" s="6">
        <v>0</v>
      </c>
      <c r="M94" s="6">
        <v>283.63</v>
      </c>
      <c r="N94" s="6">
        <v>18.72</v>
      </c>
      <c r="O94" s="6">
        <v>5.67</v>
      </c>
      <c r="P94" s="6">
        <v>0</v>
      </c>
      <c r="Q94" s="6">
        <v>259.24</v>
      </c>
      <c r="R94" s="6">
        <f>M94-N94-O94</f>
      </c>
      <c r="S94" s="6">
        <f>Q94</f>
      </c>
      <c r="T94" s="7">
        <v>46112.125</v>
      </c>
      <c r="U94" s="6">
        <f>M94-N94-O94-P94-Q94</f>
      </c>
      <c r="V94">
        <v>5952</v>
      </c>
      <c r="W94" s="8">
        <v>0.0465</v>
      </c>
    </row>
    <row r="95" spans="1:23" x14ac:dyDescent="0.25">
      <c r="A95" s="5">
        <v>46082.125</v>
      </c>
      <c r="B95" s="5">
        <v>46082.125</v>
      </c>
      <c r="C95" s="5">
        <v>46082.125</v>
      </c>
      <c r="D95">
        <v>82931</v>
      </c>
      <c r="E95">
        <v>48263</v>
      </c>
      <c r="F95" t="s">
        <v>212</v>
      </c>
      <c r="G95" t="s">
        <v>25</v>
      </c>
      <c r="H95" t="s">
        <v>213</v>
      </c>
      <c r="I95" t="s">
        <v>177</v>
      </c>
      <c r="J95" s="6">
        <v>557.18</v>
      </c>
      <c r="K95" s="6">
        <v>878.58</v>
      </c>
      <c r="L95" s="6">
        <v>0</v>
      </c>
      <c r="M95" s="6">
        <v>1435.76</v>
      </c>
      <c r="N95" s="6">
        <v>94.76</v>
      </c>
      <c r="O95" s="6">
        <v>28.72</v>
      </c>
      <c r="P95" s="6">
        <v>0</v>
      </c>
      <c r="Q95" s="6">
        <v>1312.28</v>
      </c>
      <c r="R95" s="6">
        <f>M95-N95-O95</f>
      </c>
      <c r="S95" s="6">
        <f>Q95</f>
      </c>
      <c r="T95" s="7">
        <v>46112.125</v>
      </c>
      <c r="U95" s="6">
        <f>M95-N95-O95-P95-Q95</f>
      </c>
      <c r="V95">
        <v>5952</v>
      </c>
      <c r="W95" s="8">
        <v>0.0465</v>
      </c>
    </row>
    <row r="96" spans="1:23" x14ac:dyDescent="0.25">
      <c r="A96" s="5">
        <v>46082.125</v>
      </c>
      <c r="B96" s="5">
        <v>46082.125</v>
      </c>
      <c r="C96" s="5">
        <v>46082.125</v>
      </c>
      <c r="D96">
        <v>82816</v>
      </c>
      <c r="E96">
        <v>48264</v>
      </c>
      <c r="F96" t="s">
        <v>214</v>
      </c>
      <c r="G96" t="s">
        <v>25</v>
      </c>
      <c r="H96" t="s">
        <v>215</v>
      </c>
      <c r="I96" t="s">
        <v>177</v>
      </c>
      <c r="J96" s="6">
        <v>141.01</v>
      </c>
      <c r="K96" s="6">
        <v>160.98</v>
      </c>
      <c r="L96" s="6">
        <v>0</v>
      </c>
      <c r="M96" s="6">
        <v>301.99</v>
      </c>
      <c r="N96" s="6">
        <v>19.93</v>
      </c>
      <c r="O96" s="6">
        <v>6.04</v>
      </c>
      <c r="P96" s="6">
        <v>0</v>
      </c>
      <c r="Q96" s="6">
        <v>276.02</v>
      </c>
      <c r="R96" s="6">
        <f>M96-N96-O96</f>
      </c>
      <c r="S96" s="6">
        <f>Q96</f>
      </c>
      <c r="T96" s="7">
        <v>46112.125</v>
      </c>
      <c r="U96" s="6">
        <f>M96-N96-O96-P96-Q96</f>
      </c>
      <c r="V96">
        <v>5952</v>
      </c>
      <c r="W96" s="8">
        <v>0.0465</v>
      </c>
    </row>
    <row r="97" spans="1:23" x14ac:dyDescent="0.25">
      <c r="A97" s="5">
        <v>46082.125</v>
      </c>
      <c r="B97" s="5">
        <v>46082.125</v>
      </c>
      <c r="C97" s="5">
        <v>46082.125</v>
      </c>
      <c r="D97">
        <v>15357</v>
      </c>
      <c r="E97">
        <v>48265</v>
      </c>
      <c r="F97" t="s">
        <v>216</v>
      </c>
      <c r="G97" t="s">
        <v>25</v>
      </c>
      <c r="H97" t="s">
        <v>217</v>
      </c>
      <c r="I97" t="s">
        <v>174</v>
      </c>
      <c r="J97" s="6">
        <v>1160.77</v>
      </c>
      <c r="K97" s="6">
        <v>1228.4</v>
      </c>
      <c r="L97" s="6">
        <v>0</v>
      </c>
      <c r="M97" s="6">
        <v>2389.17</v>
      </c>
      <c r="N97" s="6">
        <v>157.69</v>
      </c>
      <c r="O97" s="6">
        <v>47.78</v>
      </c>
      <c r="P97" s="6">
        <v>0</v>
      </c>
      <c r="Q97" s="6">
        <v>2183.7</v>
      </c>
      <c r="R97" s="6">
        <f>M97-N97-O97</f>
      </c>
      <c r="S97" s="6">
        <f>Q97</f>
      </c>
      <c r="T97" s="7">
        <v>46112.125</v>
      </c>
      <c r="U97" s="6">
        <f>M97-N97-O97-P97-Q97</f>
      </c>
      <c r="V97">
        <v>5952</v>
      </c>
      <c r="W97" s="8">
        <v>0.0465</v>
      </c>
    </row>
    <row r="98" spans="1:23" x14ac:dyDescent="0.25">
      <c r="A98" s="5">
        <v>46082.125</v>
      </c>
      <c r="B98" s="5">
        <v>46082.125</v>
      </c>
      <c r="C98" s="5">
        <v>46082.125</v>
      </c>
      <c r="D98">
        <v>14052</v>
      </c>
      <c r="E98">
        <v>48266</v>
      </c>
      <c r="F98" t="s">
        <v>218</v>
      </c>
      <c r="G98" t="s">
        <v>25</v>
      </c>
      <c r="H98" t="s">
        <v>219</v>
      </c>
      <c r="I98" t="s">
        <v>177</v>
      </c>
      <c r="J98" s="6">
        <v>1189.56</v>
      </c>
      <c r="K98" s="6">
        <v>628.46</v>
      </c>
      <c r="L98" s="6">
        <v>0</v>
      </c>
      <c r="M98" s="6">
        <v>1818.02</v>
      </c>
      <c r="N98" s="6">
        <v>119.99</v>
      </c>
      <c r="O98" s="6">
        <v>36.36</v>
      </c>
      <c r="P98" s="6">
        <v>0</v>
      </c>
      <c r="Q98" s="6">
        <v>1661.67</v>
      </c>
      <c r="R98" s="6">
        <f>M98-N98-O98</f>
      </c>
      <c r="S98" s="6">
        <f>Q98</f>
      </c>
      <c r="T98" s="7">
        <v>46112.125</v>
      </c>
      <c r="U98" s="6">
        <f>M98-N98-O98-P98-Q98</f>
      </c>
      <c r="V98">
        <v>5952</v>
      </c>
      <c r="W98" s="8">
        <v>0.0465</v>
      </c>
    </row>
    <row r="99" spans="1:23" x14ac:dyDescent="0.25">
      <c r="A99" s="5">
        <v>46082.125</v>
      </c>
      <c r="B99" s="5">
        <v>46082.125</v>
      </c>
      <c r="C99" s="5">
        <v>46082.125</v>
      </c>
      <c r="D99">
        <v>82815</v>
      </c>
      <c r="E99">
        <v>48267</v>
      </c>
      <c r="F99" t="s">
        <v>220</v>
      </c>
      <c r="G99" t="s">
        <v>25</v>
      </c>
      <c r="H99" t="s">
        <v>221</v>
      </c>
      <c r="I99" t="s">
        <v>177</v>
      </c>
      <c r="J99" s="6">
        <v>45.5</v>
      </c>
      <c r="K99" s="6">
        <v>60.22</v>
      </c>
      <c r="L99" s="6">
        <v>0</v>
      </c>
      <c r="M99" s="6">
        <v>105.72</v>
      </c>
      <c r="N99" s="6">
        <v>6.98</v>
      </c>
      <c r="O99" s="6">
        <v>2.11</v>
      </c>
      <c r="P99" s="6">
        <v>0</v>
      </c>
      <c r="Q99" s="6">
        <v>96.63</v>
      </c>
      <c r="R99" s="6">
        <f>M99-N99-O99</f>
      </c>
      <c r="S99" s="6">
        <f>Q99</f>
      </c>
      <c r="T99" s="7">
        <v>46112.125</v>
      </c>
      <c r="U99" s="6">
        <f>M99-N99-O99-P99-Q99</f>
      </c>
      <c r="V99">
        <v>5952</v>
      </c>
      <c r="W99" s="8">
        <v>0.0465</v>
      </c>
    </row>
    <row r="100" spans="1:23" x14ac:dyDescent="0.25">
      <c r="A100" s="5">
        <v>46082.125</v>
      </c>
      <c r="B100" s="5">
        <v>46082.125</v>
      </c>
      <c r="C100" s="5">
        <v>46082.125</v>
      </c>
      <c r="D100">
        <v>9399</v>
      </c>
      <c r="E100">
        <v>48268</v>
      </c>
      <c r="F100" t="s">
        <v>222</v>
      </c>
      <c r="G100" t="s">
        <v>25</v>
      </c>
      <c r="H100" t="s">
        <v>223</v>
      </c>
      <c r="I100" t="s">
        <v>177</v>
      </c>
      <c r="J100" s="6">
        <v>1070.32</v>
      </c>
      <c r="K100" s="6">
        <v>617.91</v>
      </c>
      <c r="L100" s="6">
        <v>0</v>
      </c>
      <c r="M100" s="6">
        <v>1688.23</v>
      </c>
      <c r="N100" s="6">
        <v>111.42</v>
      </c>
      <c r="O100" s="6">
        <v>33.76</v>
      </c>
      <c r="P100" s="6">
        <v>0</v>
      </c>
      <c r="Q100" s="6">
        <v>1543.05</v>
      </c>
      <c r="R100" s="6">
        <f>M100-N100-O100</f>
      </c>
      <c r="S100" s="6">
        <f>Q100</f>
      </c>
      <c r="T100" s="7">
        <v>46112.125</v>
      </c>
      <c r="U100" s="6">
        <f>M100-N100-O100-P100-Q100</f>
      </c>
      <c r="V100">
        <v>5952</v>
      </c>
      <c r="W100" s="8">
        <v>0.0465</v>
      </c>
    </row>
    <row r="101" spans="1:23" x14ac:dyDescent="0.25">
      <c r="A101" s="5">
        <v>46082.125</v>
      </c>
      <c r="B101" s="5">
        <v>46082.125</v>
      </c>
      <c r="C101" s="5">
        <v>46082.125</v>
      </c>
      <c r="D101">
        <v>15487</v>
      </c>
      <c r="E101">
        <v>48269</v>
      </c>
      <c r="F101" t="s">
        <v>224</v>
      </c>
      <c r="G101" t="s">
        <v>25</v>
      </c>
      <c r="H101" t="s">
        <v>225</v>
      </c>
      <c r="I101" t="s">
        <v>177</v>
      </c>
      <c r="J101" s="6">
        <v>687.26</v>
      </c>
      <c r="K101" s="6">
        <v>404.32</v>
      </c>
      <c r="L101" s="6">
        <v>0</v>
      </c>
      <c r="M101" s="6">
        <v>1091.58</v>
      </c>
      <c r="N101" s="6">
        <v>72.04</v>
      </c>
      <c r="O101" s="6">
        <v>21.83</v>
      </c>
      <c r="P101" s="6">
        <v>0</v>
      </c>
      <c r="Q101" s="6">
        <v>997.71</v>
      </c>
      <c r="R101" s="6">
        <f>M101-N101-O101</f>
      </c>
      <c r="S101" s="6">
        <f>Q101</f>
      </c>
      <c r="T101" s="7">
        <v>46112.125</v>
      </c>
      <c r="U101" s="6">
        <f>M101-N101-O101-P101-Q101</f>
      </c>
      <c r="V101">
        <v>5952</v>
      </c>
      <c r="W101" s="8">
        <v>0.0465</v>
      </c>
    </row>
    <row r="102" spans="1:23" x14ac:dyDescent="0.25">
      <c r="A102" s="5">
        <v>46082.125</v>
      </c>
      <c r="B102" s="5">
        <v>46082.125</v>
      </c>
      <c r="C102" s="5">
        <v>46082.125</v>
      </c>
      <c r="D102">
        <v>15661</v>
      </c>
      <c r="E102">
        <v>48270</v>
      </c>
      <c r="F102" t="s">
        <v>226</v>
      </c>
      <c r="G102" t="s">
        <v>25</v>
      </c>
      <c r="H102" t="s">
        <v>225</v>
      </c>
      <c r="I102" t="s">
        <v>177</v>
      </c>
      <c r="J102" s="6">
        <v>307.36</v>
      </c>
      <c r="K102" s="6">
        <v>287.19</v>
      </c>
      <c r="L102" s="6">
        <v>0</v>
      </c>
      <c r="M102" s="6">
        <v>594.55</v>
      </c>
      <c r="N102" s="6">
        <v>39.24</v>
      </c>
      <c r="O102" s="6">
        <v>11.89</v>
      </c>
      <c r="P102" s="6">
        <v>0</v>
      </c>
      <c r="Q102" s="6">
        <v>543.42</v>
      </c>
      <c r="R102" s="6">
        <f>M102-N102-O102</f>
      </c>
      <c r="S102" s="6">
        <f>Q102</f>
      </c>
      <c r="T102" s="7">
        <v>46112.125</v>
      </c>
      <c r="U102" s="6">
        <f>M102-N102-O102-P102-Q102</f>
      </c>
      <c r="V102">
        <v>5952</v>
      </c>
      <c r="W102" s="8">
        <v>0.0465</v>
      </c>
    </row>
    <row r="103" spans="1:23" x14ac:dyDescent="0.25">
      <c r="A103" s="5">
        <v>46082.125</v>
      </c>
      <c r="B103" s="5">
        <v>46082.125</v>
      </c>
      <c r="C103" s="5">
        <v>46082.125</v>
      </c>
      <c r="D103">
        <v>82766</v>
      </c>
      <c r="E103">
        <v>48271</v>
      </c>
      <c r="F103" t="s">
        <v>227</v>
      </c>
      <c r="G103" t="s">
        <v>25</v>
      </c>
      <c r="H103" t="s">
        <v>228</v>
      </c>
      <c r="I103" t="s">
        <v>174</v>
      </c>
      <c r="J103" s="6">
        <v>732.19</v>
      </c>
      <c r="K103" s="6">
        <v>744.06</v>
      </c>
      <c r="L103" s="6">
        <v>0</v>
      </c>
      <c r="M103" s="6">
        <v>1476.25</v>
      </c>
      <c r="N103" s="6">
        <v>97.43</v>
      </c>
      <c r="O103" s="6">
        <v>29.52</v>
      </c>
      <c r="P103" s="6">
        <v>0</v>
      </c>
      <c r="Q103" s="6">
        <v>1349.3</v>
      </c>
      <c r="R103" s="6">
        <f>M103-N103-O103</f>
      </c>
      <c r="S103" s="6">
        <f>Q103</f>
      </c>
      <c r="T103" s="7">
        <v>46112.125</v>
      </c>
      <c r="U103" s="6">
        <f>M103-N103-O103-P103-Q103</f>
      </c>
      <c r="V103">
        <v>5952</v>
      </c>
      <c r="W103" s="8">
        <v>0.0465</v>
      </c>
    </row>
    <row r="104" spans="1:23" x14ac:dyDescent="0.25">
      <c r="A104" s="5">
        <v>46082.125</v>
      </c>
      <c r="B104" s="5">
        <v>46082.125</v>
      </c>
      <c r="C104" s="5">
        <v>46082.125</v>
      </c>
      <c r="D104">
        <v>15342</v>
      </c>
      <c r="E104">
        <v>48272</v>
      </c>
      <c r="F104" t="s">
        <v>229</v>
      </c>
      <c r="G104" t="s">
        <v>25</v>
      </c>
      <c r="H104" t="s">
        <v>230</v>
      </c>
      <c r="I104" t="s">
        <v>177</v>
      </c>
      <c r="J104" s="6">
        <v>491.25</v>
      </c>
      <c r="K104" s="6">
        <v>440.12</v>
      </c>
      <c r="L104" s="6">
        <v>0</v>
      </c>
      <c r="M104" s="6">
        <v>931.37</v>
      </c>
      <c r="N104" s="6">
        <v>61.47</v>
      </c>
      <c r="O104" s="6">
        <v>18.63</v>
      </c>
      <c r="P104" s="6">
        <v>0</v>
      </c>
      <c r="Q104" s="6">
        <v>851.27</v>
      </c>
      <c r="R104" s="6">
        <f>M104-N104-O104</f>
      </c>
      <c r="S104" s="6">
        <f>Q104</f>
      </c>
      <c r="T104" s="7">
        <v>46112.125</v>
      </c>
      <c r="U104" s="6">
        <f>M104-N104-O104-P104-Q104</f>
      </c>
      <c r="V104">
        <v>5952</v>
      </c>
      <c r="W104" s="8">
        <v>0.0465</v>
      </c>
    </row>
    <row r="105" spans="1:23" x14ac:dyDescent="0.25">
      <c r="A105" s="5">
        <v>46082.125</v>
      </c>
      <c r="B105" s="5">
        <v>46082.125</v>
      </c>
      <c r="C105" s="5">
        <v>46082.125</v>
      </c>
      <c r="D105">
        <v>82898</v>
      </c>
      <c r="E105">
        <v>48273</v>
      </c>
      <c r="F105" t="s">
        <v>231</v>
      </c>
      <c r="G105" t="s">
        <v>25</v>
      </c>
      <c r="H105" t="s">
        <v>232</v>
      </c>
      <c r="I105" t="s">
        <v>177</v>
      </c>
      <c r="J105" s="6">
        <v>880.46</v>
      </c>
      <c r="K105" s="6">
        <v>984.58</v>
      </c>
      <c r="L105" s="6">
        <v>0</v>
      </c>
      <c r="M105" s="6">
        <v>1865.04</v>
      </c>
      <c r="N105" s="6">
        <v>123.09</v>
      </c>
      <c r="O105" s="6">
        <v>37.3</v>
      </c>
      <c r="P105" s="6">
        <v>0</v>
      </c>
      <c r="Q105" s="6">
        <v>1704.65</v>
      </c>
      <c r="R105" s="6">
        <f>M105-N105-O105</f>
      </c>
      <c r="S105" s="6">
        <f>Q105</f>
      </c>
      <c r="T105" s="7">
        <v>46112.125</v>
      </c>
      <c r="U105" s="6">
        <f>M105-N105-O105-P105-Q105</f>
      </c>
      <c r="V105">
        <v>5952</v>
      </c>
      <c r="W105" s="8">
        <v>0.0465</v>
      </c>
    </row>
    <row r="106" spans="1:23" x14ac:dyDescent="0.25">
      <c r="A106" s="5">
        <v>46082.125</v>
      </c>
      <c r="B106" s="5">
        <v>46082.125</v>
      </c>
      <c r="C106" s="5">
        <v>46082.125</v>
      </c>
      <c r="D106">
        <v>15645</v>
      </c>
      <c r="E106">
        <v>48274</v>
      </c>
      <c r="F106" t="s">
        <v>233</v>
      </c>
      <c r="G106" t="s">
        <v>25</v>
      </c>
      <c r="H106" t="s">
        <v>234</v>
      </c>
      <c r="I106" t="s">
        <v>177</v>
      </c>
      <c r="J106" s="6">
        <v>412.34000000000003</v>
      </c>
      <c r="K106" s="6">
        <v>393.65</v>
      </c>
      <c r="L106" s="6">
        <v>0</v>
      </c>
      <c r="M106" s="6">
        <v>805.99</v>
      </c>
      <c r="N106" s="6">
        <v>53.2</v>
      </c>
      <c r="O106" s="6">
        <v>16.12</v>
      </c>
      <c r="P106" s="6">
        <v>0</v>
      </c>
      <c r="Q106" s="6">
        <v>736.67</v>
      </c>
      <c r="R106" s="6">
        <f>M106-N106-O106</f>
      </c>
      <c r="S106" s="6">
        <f>Q106</f>
      </c>
      <c r="T106" s="7">
        <v>46112.125</v>
      </c>
      <c r="U106" s="6">
        <f>M106-N106-O106-P106-Q106</f>
      </c>
      <c r="V106">
        <v>5952</v>
      </c>
      <c r="W106" s="8">
        <v>0.0465</v>
      </c>
    </row>
    <row r="107" spans="1:23" x14ac:dyDescent="0.25">
      <c r="A107" s="5">
        <v>46082.125</v>
      </c>
      <c r="B107" s="5">
        <v>46082.125</v>
      </c>
      <c r="C107" s="5">
        <v>46082.125</v>
      </c>
      <c r="D107">
        <v>82848</v>
      </c>
      <c r="E107">
        <v>48275</v>
      </c>
      <c r="F107" t="s">
        <v>235</v>
      </c>
      <c r="G107" t="s">
        <v>25</v>
      </c>
      <c r="H107" t="s">
        <v>234</v>
      </c>
      <c r="I107" t="s">
        <v>177</v>
      </c>
      <c r="J107" s="6">
        <v>148.38</v>
      </c>
      <c r="K107" s="6">
        <v>106.13</v>
      </c>
      <c r="L107" s="6">
        <v>0</v>
      </c>
      <c r="M107" s="6">
        <v>254.51</v>
      </c>
      <c r="N107" s="6">
        <v>16.8</v>
      </c>
      <c r="O107" s="6">
        <v>5.09</v>
      </c>
      <c r="P107" s="6">
        <v>0</v>
      </c>
      <c r="Q107" s="6">
        <v>232.62</v>
      </c>
      <c r="R107" s="6">
        <f>M107-N107-O107</f>
      </c>
      <c r="S107" s="6">
        <f>Q107</f>
      </c>
      <c r="T107" s="7">
        <v>46112.125</v>
      </c>
      <c r="U107" s="6">
        <f>M107-N107-O107-P107-Q107</f>
      </c>
      <c r="V107">
        <v>5952</v>
      </c>
      <c r="W107" s="8">
        <v>0.0465</v>
      </c>
    </row>
    <row r="108" spans="1:23" x14ac:dyDescent="0.25">
      <c r="A108" s="5">
        <v>46082.125</v>
      </c>
      <c r="B108" s="5">
        <v>46082.125</v>
      </c>
      <c r="C108" s="5">
        <v>46082.125</v>
      </c>
      <c r="D108">
        <v>82984</v>
      </c>
      <c r="E108">
        <v>48276</v>
      </c>
      <c r="F108" t="s">
        <v>236</v>
      </c>
      <c r="G108" t="s">
        <v>25</v>
      </c>
      <c r="H108" t="s">
        <v>237</v>
      </c>
      <c r="I108" t="s">
        <v>177</v>
      </c>
      <c r="J108" s="6">
        <v>26.68</v>
      </c>
      <c r="K108" s="6">
        <v>44.04</v>
      </c>
      <c r="L108" s="6">
        <v>0</v>
      </c>
      <c r="M108" s="6">
        <v>70.72</v>
      </c>
      <c r="N108" s="6">
        <v>4.67</v>
      </c>
      <c r="O108" s="6">
        <v>1.41</v>
      </c>
      <c r="P108" s="6">
        <v>0</v>
      </c>
      <c r="Q108" s="6">
        <v>64.64</v>
      </c>
      <c r="R108" s="6">
        <f>M108-N108-O108</f>
      </c>
      <c r="S108" s="6">
        <f>Q108</f>
      </c>
      <c r="T108" s="7">
        <v>46112.125</v>
      </c>
      <c r="U108" s="6">
        <f>M108-N108-O108-P108-Q108</f>
      </c>
      <c r="V108">
        <v>5952</v>
      </c>
      <c r="W108" s="8">
        <v>0.0465</v>
      </c>
    </row>
    <row r="109" spans="1:23" x14ac:dyDescent="0.25">
      <c r="A109" s="5">
        <v>46082.125</v>
      </c>
      <c r="B109" s="5">
        <v>46082.125</v>
      </c>
      <c r="C109" s="5">
        <v>46082.125</v>
      </c>
      <c r="D109">
        <v>13514</v>
      </c>
      <c r="E109">
        <v>48277</v>
      </c>
      <c r="F109" t="s">
        <v>238</v>
      </c>
      <c r="G109" t="s">
        <v>25</v>
      </c>
      <c r="H109" t="s">
        <v>239</v>
      </c>
      <c r="I109" t="s">
        <v>177</v>
      </c>
      <c r="J109" s="6">
        <v>2780.99</v>
      </c>
      <c r="K109" s="6">
        <v>2755.53</v>
      </c>
      <c r="L109" s="6">
        <v>0</v>
      </c>
      <c r="M109" s="6">
        <v>5536.52</v>
      </c>
      <c r="N109" s="6">
        <v>365.41</v>
      </c>
      <c r="O109" s="6">
        <v>110.73</v>
      </c>
      <c r="P109" s="6">
        <v>280.82</v>
      </c>
      <c r="Q109" s="6">
        <v>4779.56</v>
      </c>
      <c r="R109" s="6">
        <f>M109-N109-O109</f>
      </c>
      <c r="S109" s="6">
        <f>Q109</f>
      </c>
      <c r="T109" s="7">
        <v>46112.125</v>
      </c>
      <c r="U109" s="6">
        <f>M109-N109-O109-P109-Q109</f>
      </c>
      <c r="V109">
        <v>5952</v>
      </c>
      <c r="W109" s="8">
        <v>0.0465</v>
      </c>
    </row>
    <row r="110" spans="1:23" x14ac:dyDescent="0.25">
      <c r="A110" s="5">
        <v>46082.125</v>
      </c>
      <c r="B110" s="5">
        <v>46082.125</v>
      </c>
      <c r="C110" s="5">
        <v>46082.125</v>
      </c>
      <c r="D110">
        <v>15954</v>
      </c>
      <c r="E110">
        <v>48279</v>
      </c>
      <c r="F110" t="s">
        <v>240</v>
      </c>
      <c r="G110" t="s">
        <v>25</v>
      </c>
      <c r="H110" t="s">
        <v>241</v>
      </c>
      <c r="I110" t="s">
        <v>174</v>
      </c>
      <c r="J110" s="6">
        <v>275.84999999999997</v>
      </c>
      <c r="K110" s="6">
        <v>150.68</v>
      </c>
      <c r="L110" s="6">
        <v>0</v>
      </c>
      <c r="M110" s="6">
        <v>426.53</v>
      </c>
      <c r="N110" s="6">
        <v>28.15</v>
      </c>
      <c r="O110" s="6">
        <v>8.53</v>
      </c>
      <c r="P110" s="6">
        <v>0</v>
      </c>
      <c r="Q110" s="6">
        <v>389.85</v>
      </c>
      <c r="R110" s="6">
        <f>M110-N110-O110</f>
      </c>
      <c r="S110" s="6">
        <f>Q110</f>
      </c>
      <c r="T110" s="7">
        <v>46112.125</v>
      </c>
      <c r="U110" s="6">
        <f>M110-N110-O110-P110-Q110</f>
      </c>
      <c r="V110">
        <v>5952</v>
      </c>
      <c r="W110" s="8">
        <v>0.0465</v>
      </c>
    </row>
    <row r="111" spans="1:23" x14ac:dyDescent="0.25">
      <c r="A111" s="5">
        <v>46082.125</v>
      </c>
      <c r="B111" s="5">
        <v>46082.125</v>
      </c>
      <c r="C111" s="5">
        <v>46082.125</v>
      </c>
      <c r="D111">
        <v>15725</v>
      </c>
      <c r="E111">
        <v>48280</v>
      </c>
      <c r="F111" t="s">
        <v>242</v>
      </c>
      <c r="G111" t="s">
        <v>25</v>
      </c>
      <c r="H111" t="s">
        <v>243</v>
      </c>
      <c r="I111" t="s">
        <v>177</v>
      </c>
      <c r="J111" s="6">
        <v>1270.95</v>
      </c>
      <c r="K111" s="6">
        <v>1624.86</v>
      </c>
      <c r="L111" s="6">
        <v>0</v>
      </c>
      <c r="M111" s="6">
        <v>2895.81</v>
      </c>
      <c r="N111" s="6">
        <v>191.12</v>
      </c>
      <c r="O111" s="6">
        <v>57.92</v>
      </c>
      <c r="P111" s="6">
        <v>0</v>
      </c>
      <c r="Q111" s="6">
        <v>2646.77</v>
      </c>
      <c r="R111" s="6">
        <f>M111-N111-O111</f>
      </c>
      <c r="S111" s="6">
        <f>Q111</f>
      </c>
      <c r="T111" s="7">
        <v>46112.125</v>
      </c>
      <c r="U111" s="6">
        <f>M111-N111-O111-P111-Q111</f>
      </c>
      <c r="V111">
        <v>5952</v>
      </c>
      <c r="W111" s="8">
        <v>0.0465</v>
      </c>
    </row>
    <row r="112" spans="1:23" x14ac:dyDescent="0.25">
      <c r="A112" s="5">
        <v>46082.125</v>
      </c>
      <c r="B112" s="5">
        <v>46082.125</v>
      </c>
      <c r="C112" s="5">
        <v>46082.125</v>
      </c>
      <c r="D112">
        <v>15022</v>
      </c>
      <c r="E112">
        <v>48281</v>
      </c>
      <c r="F112" t="s">
        <v>244</v>
      </c>
      <c r="G112" t="s">
        <v>25</v>
      </c>
      <c r="H112" t="s">
        <v>245</v>
      </c>
      <c r="I112" t="s">
        <v>177</v>
      </c>
      <c r="J112" s="6">
        <v>69.15</v>
      </c>
      <c r="K112" s="6">
        <v>143</v>
      </c>
      <c r="L112" s="6">
        <v>0</v>
      </c>
      <c r="M112" s="6">
        <v>212.15</v>
      </c>
      <c r="N112" s="6">
        <v>14</v>
      </c>
      <c r="O112" s="6">
        <v>4.24</v>
      </c>
      <c r="P112" s="6">
        <v>0</v>
      </c>
      <c r="Q112" s="6">
        <v>193.91</v>
      </c>
      <c r="R112" s="6">
        <f>M112-N112-O112</f>
      </c>
      <c r="S112" s="6">
        <f>Q112</f>
      </c>
      <c r="T112" s="7">
        <v>46112.125</v>
      </c>
      <c r="U112" s="6">
        <f>M112-N112-O112-P112-Q112</f>
      </c>
      <c r="V112">
        <v>5952</v>
      </c>
      <c r="W112" s="8">
        <v>0.0465</v>
      </c>
    </row>
    <row r="113" spans="1:23" x14ac:dyDescent="0.25">
      <c r="A113" s="5">
        <v>46082.125</v>
      </c>
      <c r="B113" s="5">
        <v>46082.125</v>
      </c>
      <c r="C113" s="5">
        <v>46082.125</v>
      </c>
      <c r="D113">
        <v>15255</v>
      </c>
      <c r="E113">
        <v>48282</v>
      </c>
      <c r="F113" t="s">
        <v>246</v>
      </c>
      <c r="G113" t="s">
        <v>25</v>
      </c>
      <c r="H113" t="s">
        <v>245</v>
      </c>
      <c r="I113" t="s">
        <v>177</v>
      </c>
      <c r="J113" s="6">
        <v>2122.1499999999996</v>
      </c>
      <c r="K113" s="6">
        <v>2032.59</v>
      </c>
      <c r="L113" s="6">
        <v>0</v>
      </c>
      <c r="M113" s="6">
        <v>4154.74</v>
      </c>
      <c r="N113" s="6">
        <v>274.21</v>
      </c>
      <c r="O113" s="6">
        <v>83.09</v>
      </c>
      <c r="P113" s="6">
        <v>0</v>
      </c>
      <c r="Q113" s="6">
        <v>3797.44</v>
      </c>
      <c r="R113" s="6">
        <f>M113-N113-O113</f>
      </c>
      <c r="S113" s="6">
        <f>Q113</f>
      </c>
      <c r="T113" s="7">
        <v>46112.125</v>
      </c>
      <c r="U113" s="6">
        <f>M113-N113-O113-P113-Q113</f>
      </c>
      <c r="V113">
        <v>5952</v>
      </c>
      <c r="W113" s="8">
        <v>0.0465</v>
      </c>
    </row>
    <row r="114" spans="1:23" x14ac:dyDescent="0.25">
      <c r="A114" s="5">
        <v>46082.125</v>
      </c>
      <c r="B114" s="5">
        <v>46082.125</v>
      </c>
      <c r="C114" s="5">
        <v>46082.125</v>
      </c>
      <c r="D114">
        <v>9223</v>
      </c>
      <c r="E114">
        <v>48283</v>
      </c>
      <c r="F114" t="s">
        <v>247</v>
      </c>
      <c r="G114" t="s">
        <v>25</v>
      </c>
      <c r="H114" t="s">
        <v>248</v>
      </c>
      <c r="I114" t="s">
        <v>177</v>
      </c>
      <c r="J114" s="6">
        <v>2876.6500000000005</v>
      </c>
      <c r="K114" s="6">
        <v>2580.24</v>
      </c>
      <c r="L114" s="6">
        <v>0</v>
      </c>
      <c r="M114" s="6">
        <v>5456.89</v>
      </c>
      <c r="N114" s="6">
        <v>360.15</v>
      </c>
      <c r="O114" s="6">
        <v>109.14</v>
      </c>
      <c r="P114" s="6">
        <v>248.32</v>
      </c>
      <c r="Q114" s="6">
        <v>4739.28</v>
      </c>
      <c r="R114" s="6">
        <f>M114-N114-O114</f>
      </c>
      <c r="S114" s="6">
        <f>Q114</f>
      </c>
      <c r="T114" s="7">
        <v>46112.125</v>
      </c>
      <c r="U114" s="6">
        <f>M114-N114-O114-P114-Q114</f>
      </c>
      <c r="V114">
        <v>5952</v>
      </c>
      <c r="W114" s="8">
        <v>0.0465</v>
      </c>
    </row>
    <row r="115" spans="1:23" x14ac:dyDescent="0.25">
      <c r="A115" s="5">
        <v>46082.125</v>
      </c>
      <c r="B115" s="5">
        <v>46082.125</v>
      </c>
      <c r="C115" s="5">
        <v>46082.125</v>
      </c>
      <c r="D115">
        <v>15247</v>
      </c>
      <c r="E115">
        <v>48285</v>
      </c>
      <c r="F115" t="s">
        <v>249</v>
      </c>
      <c r="G115" t="s">
        <v>25</v>
      </c>
      <c r="H115" t="s">
        <v>250</v>
      </c>
      <c r="I115" t="s">
        <v>174</v>
      </c>
      <c r="J115" s="6">
        <v>104.93</v>
      </c>
      <c r="K115" s="6">
        <v>102.06</v>
      </c>
      <c r="L115" s="6">
        <v>0</v>
      </c>
      <c r="M115" s="6">
        <v>206.99</v>
      </c>
      <c r="N115" s="6">
        <v>13.66</v>
      </c>
      <c r="O115" s="6">
        <v>4.14</v>
      </c>
      <c r="P115" s="6">
        <v>0</v>
      </c>
      <c r="Q115" s="6">
        <v>189.19</v>
      </c>
      <c r="R115" s="6">
        <f>M115-N115-O115</f>
      </c>
      <c r="S115" s="6">
        <f>Q115</f>
      </c>
      <c r="T115" s="7">
        <v>46112.125</v>
      </c>
      <c r="U115" s="6">
        <f>M115-N115-O115-P115-Q115</f>
      </c>
      <c r="V115">
        <v>5952</v>
      </c>
      <c r="W115" s="8">
        <v>0.0465</v>
      </c>
    </row>
    <row r="116" spans="1:23" x14ac:dyDescent="0.25">
      <c r="A116" s="5">
        <v>46082.125</v>
      </c>
      <c r="B116" s="5">
        <v>46082.125</v>
      </c>
      <c r="C116" s="5">
        <v>46082.125</v>
      </c>
      <c r="D116">
        <v>82899</v>
      </c>
      <c r="E116">
        <v>48287</v>
      </c>
      <c r="F116" t="s">
        <v>251</v>
      </c>
      <c r="G116" t="s">
        <v>25</v>
      </c>
      <c r="H116" t="s">
        <v>252</v>
      </c>
      <c r="I116" t="s">
        <v>177</v>
      </c>
      <c r="J116" s="6">
        <v>444.16</v>
      </c>
      <c r="K116" s="6">
        <v>814.32</v>
      </c>
      <c r="L116" s="6">
        <v>0</v>
      </c>
      <c r="M116" s="6">
        <v>1258.48</v>
      </c>
      <c r="N116" s="6">
        <v>83.06</v>
      </c>
      <c r="O116" s="6">
        <v>25.17</v>
      </c>
      <c r="P116" s="6">
        <v>0</v>
      </c>
      <c r="Q116" s="6">
        <v>1150.25</v>
      </c>
      <c r="R116" s="6">
        <f>M116-N116-O116</f>
      </c>
      <c r="S116" s="6">
        <f>Q116</f>
      </c>
      <c r="T116" s="7">
        <v>46112.125</v>
      </c>
      <c r="U116" s="6">
        <f>M116-N116-O116-P116-Q116</f>
      </c>
      <c r="V116">
        <v>5952</v>
      </c>
      <c r="W116" s="8">
        <v>0.0465</v>
      </c>
    </row>
    <row r="117" spans="1:23" x14ac:dyDescent="0.25">
      <c r="A117" s="5">
        <v>46082.125</v>
      </c>
      <c r="B117" s="5">
        <v>46082.125</v>
      </c>
      <c r="C117" s="5">
        <v>46082.125</v>
      </c>
      <c r="D117">
        <v>14740</v>
      </c>
      <c r="E117">
        <v>48288</v>
      </c>
      <c r="F117" t="s">
        <v>253</v>
      </c>
      <c r="G117" t="s">
        <v>25</v>
      </c>
      <c r="H117" t="s">
        <v>254</v>
      </c>
      <c r="I117" t="s">
        <v>177</v>
      </c>
      <c r="J117" s="6">
        <v>984.8100000000002</v>
      </c>
      <c r="K117" s="6">
        <v>1333.2</v>
      </c>
      <c r="L117" s="6">
        <v>0</v>
      </c>
      <c r="M117" s="6">
        <v>2318.01</v>
      </c>
      <c r="N117" s="6">
        <v>152.99</v>
      </c>
      <c r="O117" s="6">
        <v>46.36</v>
      </c>
      <c r="P117" s="6">
        <v>0</v>
      </c>
      <c r="Q117" s="6">
        <v>2118.66</v>
      </c>
      <c r="R117" s="6">
        <f>M117-N117-O117</f>
      </c>
      <c r="S117" s="6">
        <f>Q117</f>
      </c>
      <c r="T117" s="7">
        <v>46112.125</v>
      </c>
      <c r="U117" s="6">
        <f>M117-N117-O117-P117-Q117</f>
      </c>
      <c r="V117">
        <v>5952</v>
      </c>
      <c r="W117" s="8">
        <v>0.0465</v>
      </c>
    </row>
    <row r="118" spans="1:23" x14ac:dyDescent="0.25">
      <c r="A118" s="5">
        <v>46082.125</v>
      </c>
      <c r="B118" s="5">
        <v>46082.125</v>
      </c>
      <c r="C118" s="5">
        <v>46082.125</v>
      </c>
      <c r="D118">
        <v>15833</v>
      </c>
      <c r="E118">
        <v>48289</v>
      </c>
      <c r="F118" t="s">
        <v>255</v>
      </c>
      <c r="G118" t="s">
        <v>25</v>
      </c>
      <c r="H118" t="s">
        <v>256</v>
      </c>
      <c r="I118" t="s">
        <v>177</v>
      </c>
      <c r="J118" s="6">
        <v>1335.7100000000003</v>
      </c>
      <c r="K118" s="6">
        <v>1266.61</v>
      </c>
      <c r="L118" s="6">
        <v>0</v>
      </c>
      <c r="M118" s="6">
        <v>2602.32</v>
      </c>
      <c r="N118" s="6">
        <v>171.75</v>
      </c>
      <c r="O118" s="6">
        <v>52.05</v>
      </c>
      <c r="P118" s="6">
        <v>0</v>
      </c>
      <c r="Q118" s="6">
        <v>2378.52</v>
      </c>
      <c r="R118" s="6">
        <f>M118-N118-O118</f>
      </c>
      <c r="S118" s="6">
        <f>Q118</f>
      </c>
      <c r="T118" s="7">
        <v>46112.125</v>
      </c>
      <c r="U118" s="6">
        <f>M118-N118-O118-P118-Q118</f>
      </c>
      <c r="V118">
        <v>5952</v>
      </c>
      <c r="W118" s="8">
        <v>0.0465</v>
      </c>
    </row>
    <row r="119" spans="1:23" x14ac:dyDescent="0.25">
      <c r="A119" s="5">
        <v>46082.125</v>
      </c>
      <c r="B119" s="5">
        <v>46082.125</v>
      </c>
      <c r="C119" s="5">
        <v>46082.125</v>
      </c>
      <c r="D119">
        <v>82951</v>
      </c>
      <c r="E119">
        <v>48290</v>
      </c>
      <c r="F119" t="s">
        <v>257</v>
      </c>
      <c r="G119" t="s">
        <v>25</v>
      </c>
      <c r="H119" t="s">
        <v>258</v>
      </c>
      <c r="I119" t="s">
        <v>177</v>
      </c>
      <c r="J119" s="6">
        <v>22.08</v>
      </c>
      <c r="K119" s="6">
        <v>37.98</v>
      </c>
      <c r="L119" s="6">
        <v>0</v>
      </c>
      <c r="M119" s="6">
        <v>60.06</v>
      </c>
      <c r="N119" s="6">
        <v>3.96</v>
      </c>
      <c r="O119" s="6">
        <v>1.2</v>
      </c>
      <c r="P119" s="6">
        <v>0</v>
      </c>
      <c r="Q119" s="6">
        <v>54.9</v>
      </c>
      <c r="R119" s="6">
        <f>M119-N119-O119</f>
      </c>
      <c r="S119" s="6">
        <f>Q119</f>
      </c>
      <c r="T119" s="7">
        <v>46112.125</v>
      </c>
      <c r="U119" s="6">
        <f>M119-N119-O119-P119-Q119</f>
      </c>
      <c r="V119">
        <v>5952</v>
      </c>
      <c r="W119" s="8">
        <v>0.0465</v>
      </c>
    </row>
    <row r="120" spans="1:23" x14ac:dyDescent="0.25">
      <c r="A120" s="5">
        <v>46082.125</v>
      </c>
      <c r="B120" s="5">
        <v>46082.125</v>
      </c>
      <c r="C120" s="5">
        <v>46082.125</v>
      </c>
      <c r="D120">
        <v>14016</v>
      </c>
      <c r="E120">
        <v>48291</v>
      </c>
      <c r="F120" t="s">
        <v>259</v>
      </c>
      <c r="G120" t="s">
        <v>25</v>
      </c>
      <c r="H120" t="s">
        <v>260</v>
      </c>
      <c r="I120" t="s">
        <v>177</v>
      </c>
      <c r="J120" s="6">
        <v>909.2</v>
      </c>
      <c r="K120" s="6">
        <v>1073.79</v>
      </c>
      <c r="L120" s="6">
        <v>0</v>
      </c>
      <c r="M120" s="6">
        <v>1982.99</v>
      </c>
      <c r="N120" s="6">
        <v>130.88</v>
      </c>
      <c r="O120" s="6">
        <v>39.66</v>
      </c>
      <c r="P120" s="6">
        <v>0</v>
      </c>
      <c r="Q120" s="6">
        <v>1812.45</v>
      </c>
      <c r="R120" s="6">
        <f>M120-N120-O120</f>
      </c>
      <c r="S120" s="6">
        <f>Q120</f>
      </c>
      <c r="T120" s="7">
        <v>46112.125</v>
      </c>
      <c r="U120" s="6">
        <f>M120-N120-O120-P120-Q120</f>
      </c>
      <c r="V120">
        <v>5952</v>
      </c>
      <c r="W120" s="8">
        <v>0.0465</v>
      </c>
    </row>
    <row r="121" spans="1:23" x14ac:dyDescent="0.25">
      <c r="A121" s="5">
        <v>46082.125</v>
      </c>
      <c r="B121" s="5">
        <v>46082.125</v>
      </c>
      <c r="C121" s="5">
        <v>46082.125</v>
      </c>
      <c r="D121">
        <v>15598</v>
      </c>
      <c r="E121">
        <v>48292</v>
      </c>
      <c r="F121" t="s">
        <v>261</v>
      </c>
      <c r="G121" t="s">
        <v>25</v>
      </c>
      <c r="H121" t="s">
        <v>217</v>
      </c>
      <c r="I121" t="s">
        <v>174</v>
      </c>
      <c r="J121" s="6">
        <v>300.04</v>
      </c>
      <c r="K121" s="6">
        <v>185.06</v>
      </c>
      <c r="L121" s="6">
        <v>0</v>
      </c>
      <c r="M121" s="6">
        <v>485.1</v>
      </c>
      <c r="N121" s="6">
        <v>32.02</v>
      </c>
      <c r="O121" s="6">
        <v>9.7</v>
      </c>
      <c r="P121" s="6">
        <v>0</v>
      </c>
      <c r="Q121" s="6">
        <v>443.38</v>
      </c>
      <c r="R121" s="6">
        <f>M121-N121-O121</f>
      </c>
      <c r="S121" s="6">
        <f>Q121</f>
      </c>
      <c r="T121" s="7">
        <v>46112.125</v>
      </c>
      <c r="U121" s="6">
        <f>M121-N121-O121-P121-Q121</f>
      </c>
      <c r="V121">
        <v>5952</v>
      </c>
      <c r="W121" s="8">
        <v>0.0465</v>
      </c>
    </row>
    <row r="122" spans="1:23" x14ac:dyDescent="0.25">
      <c r="A122" s="5">
        <v>46082.125</v>
      </c>
      <c r="B122" s="5">
        <v>46082.125</v>
      </c>
      <c r="C122" s="5">
        <v>46082.125</v>
      </c>
      <c r="D122">
        <v>9933</v>
      </c>
      <c r="E122">
        <v>48293</v>
      </c>
      <c r="F122" t="s">
        <v>262</v>
      </c>
      <c r="G122" t="s">
        <v>25</v>
      </c>
      <c r="H122" t="s">
        <v>263</v>
      </c>
      <c r="I122" t="s">
        <v>177</v>
      </c>
      <c r="J122" s="6">
        <v>2144.37</v>
      </c>
      <c r="K122" s="6">
        <v>829.94</v>
      </c>
      <c r="L122" s="6">
        <v>0</v>
      </c>
      <c r="M122" s="6">
        <v>2974.31</v>
      </c>
      <c r="N122" s="6">
        <v>196.3</v>
      </c>
      <c r="O122" s="6">
        <v>59.49</v>
      </c>
      <c r="P122" s="6">
        <v>0</v>
      </c>
      <c r="Q122" s="6">
        <v>2718.52</v>
      </c>
      <c r="R122" s="6">
        <f>M122-N122-O122</f>
      </c>
      <c r="S122" s="6">
        <f>Q122</f>
      </c>
      <c r="T122" s="7">
        <v>46112.125</v>
      </c>
      <c r="U122" s="6">
        <f>M122-N122-O122-P122-Q122</f>
      </c>
      <c r="V122">
        <v>5952</v>
      </c>
      <c r="W122" s="8">
        <v>0.0465</v>
      </c>
    </row>
    <row r="123" spans="1:23" x14ac:dyDescent="0.25">
      <c r="A123" s="5">
        <v>46082.125</v>
      </c>
      <c r="B123" s="5">
        <v>46082.125</v>
      </c>
      <c r="C123" s="5">
        <v>46082.125</v>
      </c>
      <c r="D123">
        <v>15296</v>
      </c>
      <c r="E123">
        <v>48294</v>
      </c>
      <c r="F123" t="s">
        <v>264</v>
      </c>
      <c r="G123" t="s">
        <v>25</v>
      </c>
      <c r="H123" t="s">
        <v>265</v>
      </c>
      <c r="I123" t="s">
        <v>177</v>
      </c>
      <c r="J123" s="6">
        <v>1671.62</v>
      </c>
      <c r="K123" s="6">
        <v>571.42</v>
      </c>
      <c r="L123" s="6">
        <v>0</v>
      </c>
      <c r="M123" s="6">
        <v>2243.04</v>
      </c>
      <c r="N123" s="6">
        <v>148.04</v>
      </c>
      <c r="O123" s="6">
        <v>44.86</v>
      </c>
      <c r="P123" s="6">
        <v>0</v>
      </c>
      <c r="Q123" s="6">
        <v>2050.14</v>
      </c>
      <c r="R123" s="6">
        <f>M123-N123-O123</f>
      </c>
      <c r="S123" s="6">
        <f>Q123</f>
      </c>
      <c r="T123" s="7">
        <v>46112.125</v>
      </c>
      <c r="U123" s="6">
        <f>M123-N123-O123-P123-Q123</f>
      </c>
      <c r="V123">
        <v>5952</v>
      </c>
      <c r="W123" s="8">
        <v>0.0465</v>
      </c>
    </row>
    <row r="124" spans="1:23" x14ac:dyDescent="0.25">
      <c r="A124" s="5">
        <v>46082.125</v>
      </c>
      <c r="B124" s="5">
        <v>46082.125</v>
      </c>
      <c r="C124" s="5">
        <v>46082.125</v>
      </c>
      <c r="D124">
        <v>15759</v>
      </c>
      <c r="E124">
        <v>48295</v>
      </c>
      <c r="F124" t="s">
        <v>266</v>
      </c>
      <c r="G124" t="s">
        <v>25</v>
      </c>
      <c r="H124" t="s">
        <v>265</v>
      </c>
      <c r="I124" t="s">
        <v>177</v>
      </c>
      <c r="J124" s="6">
        <v>1714.3300000000002</v>
      </c>
      <c r="K124" s="6">
        <v>323.34</v>
      </c>
      <c r="L124" s="6">
        <v>0</v>
      </c>
      <c r="M124" s="6">
        <v>2037.67</v>
      </c>
      <c r="N124" s="6">
        <v>134.49</v>
      </c>
      <c r="O124" s="6">
        <v>40.75</v>
      </c>
      <c r="P124" s="6">
        <v>0</v>
      </c>
      <c r="Q124" s="6">
        <v>1862.43</v>
      </c>
      <c r="R124" s="6">
        <f>M124-N124-O124</f>
      </c>
      <c r="S124" s="6">
        <f>Q124</f>
      </c>
      <c r="T124" s="7">
        <v>46112.125</v>
      </c>
      <c r="U124" s="6">
        <f>M124-N124-O124-P124-Q124</f>
      </c>
      <c r="V124">
        <v>5952</v>
      </c>
      <c r="W124" s="8">
        <v>0.0465</v>
      </c>
    </row>
    <row r="125" spans="1:23" x14ac:dyDescent="0.25">
      <c r="A125" s="5">
        <v>46082.125</v>
      </c>
      <c r="B125" s="5">
        <v>46082.125</v>
      </c>
      <c r="C125" s="5">
        <v>46082.125</v>
      </c>
      <c r="D125">
        <v>8104</v>
      </c>
      <c r="E125">
        <v>48296</v>
      </c>
      <c r="F125" t="s">
        <v>267</v>
      </c>
      <c r="G125" t="s">
        <v>25</v>
      </c>
      <c r="H125" t="s">
        <v>268</v>
      </c>
      <c r="I125" t="s">
        <v>174</v>
      </c>
      <c r="J125" s="6">
        <v>341.38</v>
      </c>
      <c r="K125" s="6">
        <v>43.33</v>
      </c>
      <c r="L125" s="6">
        <v>0</v>
      </c>
      <c r="M125" s="6">
        <v>384.71</v>
      </c>
      <c r="N125" s="6">
        <v>25.39</v>
      </c>
      <c r="O125" s="6">
        <v>7.69</v>
      </c>
      <c r="P125" s="6">
        <v>0</v>
      </c>
      <c r="Q125" s="6">
        <v>351.63</v>
      </c>
      <c r="R125" s="6">
        <f>M125-N125-O125</f>
      </c>
      <c r="S125" s="6">
        <f>Q125</f>
      </c>
      <c r="T125" s="7">
        <v>46112.125</v>
      </c>
      <c r="U125" s="6">
        <f>M125-N125-O125-P125-Q125</f>
      </c>
      <c r="V125">
        <v>5952</v>
      </c>
      <c r="W125" s="8">
        <v>0.0465</v>
      </c>
    </row>
    <row r="126" spans="1:23" x14ac:dyDescent="0.25">
      <c r="A126" s="5">
        <v>46082.125</v>
      </c>
      <c r="B126" s="5">
        <v>46082.125</v>
      </c>
      <c r="C126" s="5">
        <v>46082.125</v>
      </c>
      <c r="D126">
        <v>14954</v>
      </c>
      <c r="E126">
        <v>48297</v>
      </c>
      <c r="F126" t="s">
        <v>269</v>
      </c>
      <c r="G126" t="s">
        <v>25</v>
      </c>
      <c r="H126" t="s">
        <v>270</v>
      </c>
      <c r="I126" t="s">
        <v>174</v>
      </c>
      <c r="J126" s="6">
        <v>627.7</v>
      </c>
      <c r="K126" s="6">
        <v>112.29</v>
      </c>
      <c r="L126" s="6">
        <v>0</v>
      </c>
      <c r="M126" s="6">
        <v>739.99</v>
      </c>
      <c r="N126" s="6">
        <v>48.84</v>
      </c>
      <c r="O126" s="6">
        <v>14.8</v>
      </c>
      <c r="P126" s="6">
        <v>0</v>
      </c>
      <c r="Q126" s="6">
        <v>676.35</v>
      </c>
      <c r="R126" s="6">
        <f>M126-N126-O126</f>
      </c>
      <c r="S126" s="6">
        <f>Q126</f>
      </c>
      <c r="T126" s="7">
        <v>46112.125</v>
      </c>
      <c r="U126" s="6">
        <f>M126-N126-O126-P126-Q126</f>
      </c>
      <c r="V126">
        <v>5952</v>
      </c>
      <c r="W126" s="8">
        <v>0.0465</v>
      </c>
    </row>
    <row r="127" spans="1:23" x14ac:dyDescent="0.25">
      <c r="A127" s="5">
        <v>46082.125</v>
      </c>
      <c r="B127" s="5">
        <v>46082.125</v>
      </c>
      <c r="C127" s="5">
        <v>46082.125</v>
      </c>
      <c r="D127">
        <v>82811</v>
      </c>
      <c r="E127">
        <v>48298</v>
      </c>
      <c r="F127" t="s">
        <v>271</v>
      </c>
      <c r="G127" t="s">
        <v>25</v>
      </c>
      <c r="H127" t="s">
        <v>272</v>
      </c>
      <c r="I127" t="s">
        <v>177</v>
      </c>
      <c r="J127" s="6">
        <v>609.26</v>
      </c>
      <c r="K127" s="6">
        <v>185.51</v>
      </c>
      <c r="L127" s="6">
        <v>0</v>
      </c>
      <c r="M127" s="6">
        <v>794.77</v>
      </c>
      <c r="N127" s="6">
        <v>52.45</v>
      </c>
      <c r="O127" s="6">
        <v>15.9</v>
      </c>
      <c r="P127" s="6">
        <v>0</v>
      </c>
      <c r="Q127" s="6">
        <v>726.42</v>
      </c>
      <c r="R127" s="6">
        <f>M127-N127-O127</f>
      </c>
      <c r="S127" s="6">
        <f>Q127</f>
      </c>
      <c r="T127" s="7">
        <v>46112.125</v>
      </c>
      <c r="U127" s="6">
        <f>M127-N127-O127-P127-Q127</f>
      </c>
      <c r="V127">
        <v>5952</v>
      </c>
      <c r="W127" s="8">
        <v>0.0465</v>
      </c>
    </row>
    <row r="128" spans="1:23" x14ac:dyDescent="0.25">
      <c r="A128" s="5">
        <v>46082.125</v>
      </c>
      <c r="B128" s="5">
        <v>46082.125</v>
      </c>
      <c r="C128" s="5">
        <v>46082.125</v>
      </c>
      <c r="D128">
        <v>15910</v>
      </c>
      <c r="E128">
        <v>48299</v>
      </c>
      <c r="F128" t="s">
        <v>273</v>
      </c>
      <c r="G128" t="s">
        <v>25</v>
      </c>
      <c r="H128" t="s">
        <v>274</v>
      </c>
      <c r="I128" t="s">
        <v>177</v>
      </c>
      <c r="J128" s="6">
        <v>536.68</v>
      </c>
      <c r="K128" s="6">
        <v>93.14</v>
      </c>
      <c r="L128" s="6">
        <v>0</v>
      </c>
      <c r="M128" s="6">
        <v>629.82</v>
      </c>
      <c r="N128" s="6">
        <v>41.57</v>
      </c>
      <c r="O128" s="6">
        <v>12.6</v>
      </c>
      <c r="P128" s="6">
        <v>0</v>
      </c>
      <c r="Q128" s="6">
        <v>575.65</v>
      </c>
      <c r="R128" s="6">
        <f>M128-N128-O128</f>
      </c>
      <c r="S128" s="6">
        <f>Q128</f>
      </c>
      <c r="T128" s="7">
        <v>46112.125</v>
      </c>
      <c r="U128" s="6">
        <f>M128-N128-O128-P128-Q128</f>
      </c>
      <c r="V128">
        <v>5952</v>
      </c>
      <c r="W128" s="8">
        <v>0.0465</v>
      </c>
    </row>
    <row r="129" spans="1:23" x14ac:dyDescent="0.25">
      <c r="A129" s="5">
        <v>46082.125</v>
      </c>
      <c r="B129" s="5">
        <v>46082.125</v>
      </c>
      <c r="C129" s="5">
        <v>46082.125</v>
      </c>
      <c r="D129">
        <v>15911</v>
      </c>
      <c r="E129">
        <v>48300</v>
      </c>
      <c r="F129" t="s">
        <v>275</v>
      </c>
      <c r="G129" t="s">
        <v>25</v>
      </c>
      <c r="H129" t="s">
        <v>276</v>
      </c>
      <c r="I129" t="s">
        <v>177</v>
      </c>
      <c r="J129" s="6">
        <v>544.94</v>
      </c>
      <c r="K129" s="6">
        <v>214.93</v>
      </c>
      <c r="L129" s="6">
        <v>0</v>
      </c>
      <c r="M129" s="6">
        <v>759.87</v>
      </c>
      <c r="N129" s="6">
        <v>50.15</v>
      </c>
      <c r="O129" s="6">
        <v>15.2</v>
      </c>
      <c r="P129" s="6">
        <v>0</v>
      </c>
      <c r="Q129" s="6">
        <v>694.52</v>
      </c>
      <c r="R129" s="6">
        <f>M129-N129-O129</f>
      </c>
      <c r="S129" s="6">
        <f>Q129</f>
      </c>
      <c r="T129" s="7">
        <v>46112.125</v>
      </c>
      <c r="U129" s="6">
        <f>M129-N129-O129-P129-Q129</f>
      </c>
      <c r="V129">
        <v>5952</v>
      </c>
      <c r="W129" s="8">
        <v>0.0465</v>
      </c>
    </row>
    <row r="130" spans="1:23" x14ac:dyDescent="0.25">
      <c r="A130" s="5">
        <v>46082.125</v>
      </c>
      <c r="B130" s="5">
        <v>46082.125</v>
      </c>
      <c r="C130" s="5">
        <v>46082.125</v>
      </c>
      <c r="D130">
        <v>15569</v>
      </c>
      <c r="E130">
        <v>48301</v>
      </c>
      <c r="F130" t="s">
        <v>277</v>
      </c>
      <c r="G130" t="s">
        <v>25</v>
      </c>
      <c r="H130" t="s">
        <v>278</v>
      </c>
      <c r="I130" t="s">
        <v>177</v>
      </c>
      <c r="J130" s="6">
        <v>735.07</v>
      </c>
      <c r="K130" s="6">
        <v>130.5</v>
      </c>
      <c r="L130" s="6">
        <v>0</v>
      </c>
      <c r="M130" s="6">
        <v>865.57</v>
      </c>
      <c r="N130" s="6">
        <v>57.13</v>
      </c>
      <c r="O130" s="6">
        <v>17.31</v>
      </c>
      <c r="P130" s="6">
        <v>0</v>
      </c>
      <c r="Q130" s="6">
        <v>791.13</v>
      </c>
      <c r="R130" s="6">
        <f>M130-N130-O130</f>
      </c>
      <c r="S130" s="6">
        <f>Q130</f>
      </c>
      <c r="T130" s="7">
        <v>46112.125</v>
      </c>
      <c r="U130" s="6">
        <f>M130-N130-O130-P130-Q130</f>
      </c>
      <c r="V130">
        <v>5952</v>
      </c>
      <c r="W130" s="8">
        <v>0.0465</v>
      </c>
    </row>
    <row r="131" spans="1:23" x14ac:dyDescent="0.25">
      <c r="A131" s="5">
        <v>46082.125</v>
      </c>
      <c r="B131" s="5">
        <v>46082.125</v>
      </c>
      <c r="C131" s="5">
        <v>46082.125</v>
      </c>
      <c r="D131">
        <v>9944</v>
      </c>
      <c r="E131">
        <v>48302</v>
      </c>
      <c r="F131" t="s">
        <v>279</v>
      </c>
      <c r="G131" t="s">
        <v>25</v>
      </c>
      <c r="H131" t="s">
        <v>280</v>
      </c>
      <c r="I131" t="s">
        <v>281</v>
      </c>
      <c r="J131" s="6">
        <v>3792</v>
      </c>
      <c r="K131" s="6">
        <v>0</v>
      </c>
      <c r="L131" s="6">
        <v>0</v>
      </c>
      <c r="M131" s="6">
        <v>3792</v>
      </c>
      <c r="N131" s="6">
        <v>250.27</v>
      </c>
      <c r="O131" s="6">
        <v>75.84</v>
      </c>
      <c r="P131" s="6">
        <v>0</v>
      </c>
      <c r="Q131" s="6">
        <v>3465.89</v>
      </c>
      <c r="R131" s="6">
        <f>M131-N131-O131</f>
      </c>
      <c r="S131" s="6">
        <f>Q131</f>
      </c>
      <c r="T131" s="7">
        <v>46112.125</v>
      </c>
      <c r="U131" s="6">
        <f>M131-N131-O131-P131-Q131</f>
      </c>
      <c r="V131">
        <v>5952</v>
      </c>
      <c r="W131" s="8">
        <v>0.0465</v>
      </c>
    </row>
    <row r="132" spans="1:23" x14ac:dyDescent="0.25">
      <c r="A132" s="5">
        <v>46082.125</v>
      </c>
      <c r="B132" s="5">
        <v>46054.125</v>
      </c>
      <c r="C132" s="5">
        <v>46082.125</v>
      </c>
      <c r="D132">
        <v>82847</v>
      </c>
      <c r="E132">
        <v>48306</v>
      </c>
      <c r="F132" t="s">
        <v>282</v>
      </c>
      <c r="G132" t="s">
        <v>25</v>
      </c>
      <c r="H132" t="s">
        <v>283</v>
      </c>
      <c r="I132" t="s">
        <v>27</v>
      </c>
      <c r="J132" s="6">
        <v>366.5</v>
      </c>
      <c r="K132" s="6">
        <v>0</v>
      </c>
      <c r="L132" s="6">
        <v>0</v>
      </c>
      <c r="M132" s="6">
        <v>366.5</v>
      </c>
      <c r="N132" s="6">
        <v>24.19</v>
      </c>
      <c r="O132" s="6">
        <v>0</v>
      </c>
      <c r="P132" s="6">
        <v>0</v>
      </c>
      <c r="Q132" s="6">
        <v>342.31</v>
      </c>
      <c r="R132" s="6">
        <f>M132-N132-O132</f>
      </c>
      <c r="S132" s="6">
        <f>Q132</f>
      </c>
      <c r="T132" s="7">
        <v>46112.125</v>
      </c>
      <c r="U132" s="6">
        <f>M132-N132-O132-P132-Q132</f>
      </c>
      <c r="V132">
        <v>5952</v>
      </c>
      <c r="W132" s="8">
        <v>0.0465</v>
      </c>
    </row>
    <row r="133" spans="1:23" x14ac:dyDescent="0.25">
      <c r="A133" s="5">
        <v>46082.125</v>
      </c>
      <c r="B133" s="5">
        <v>46054.125</v>
      </c>
      <c r="C133" s="5">
        <v>46082.125</v>
      </c>
      <c r="D133">
        <v>82944</v>
      </c>
      <c r="E133">
        <v>48309</v>
      </c>
      <c r="F133" t="s">
        <v>284</v>
      </c>
      <c r="G133" t="s">
        <v>25</v>
      </c>
      <c r="H133" t="s">
        <v>285</v>
      </c>
      <c r="I133" t="s">
        <v>27</v>
      </c>
      <c r="J133" s="6">
        <v>52.26</v>
      </c>
      <c r="K133" s="6">
        <v>17.42</v>
      </c>
      <c r="L133" s="6">
        <v>0</v>
      </c>
      <c r="M133" s="6">
        <v>69.68</v>
      </c>
      <c r="N133" s="6">
        <v>4.6</v>
      </c>
      <c r="O133" s="6">
        <v>0</v>
      </c>
      <c r="P133" s="6">
        <v>0</v>
      </c>
      <c r="Q133" s="6">
        <v>65.08</v>
      </c>
      <c r="R133" s="6">
        <f>M133-N133-O133</f>
      </c>
      <c r="S133" s="6">
        <f>Q133</f>
      </c>
      <c r="T133" s="7">
        <v>46112.125</v>
      </c>
      <c r="U133" s="6">
        <f>M133-N133-O133-P133-Q133</f>
      </c>
      <c r="V133">
        <v>5952</v>
      </c>
      <c r="W133" s="8">
        <v>0.0465</v>
      </c>
    </row>
    <row r="134" spans="1:19" s="9" customFormat="1" x14ac:dyDescent="0.25">
      <c r="A134" s="9" t="s">
        <v>286</v>
      </c>
      <c r="J134" s="10">
        <f>SUM(J4:J133)</f>
      </c>
      <c r="K134" s="10">
        <f>SUM(K4:K133)</f>
      </c>
      <c r="L134" s="10">
        <f>SUM(L4:L133)</f>
      </c>
      <c r="M134" s="10">
        <f>SUM(M4:M133)</f>
      </c>
      <c r="N134" s="10">
        <f>SUM(N4:N133)</f>
      </c>
      <c r="O134" s="10">
        <f>SUM(O4:O133)</f>
      </c>
      <c r="P134" s="10">
        <f>SUM(P4:P133)</f>
      </c>
      <c r="Q134" s="10">
        <f>SUM(Q4:Q133)</f>
      </c>
      <c r="R134" s="10">
        <f>SUM(R4:R133)</f>
      </c>
      <c r="S134" s="10">
        <f>SUM(S4:S133)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8"/>
  <sheetFormatPr defaultRowHeight="15" outlineLevelRow="0" outlineLevelCol="0" x14ac:dyDescent="55"/>
  <cols>
    <col min="1" max="3" width="11" customWidth="1"/>
    <col min="4" max="5" width="10" customWidth="1"/>
    <col min="6" max="6" width="52" customWidth="1"/>
    <col min="7" max="7" width="8" customWidth="1"/>
    <col min="8" max="8" width="20" customWidth="1"/>
    <col min="9" max="9" width="42" customWidth="1"/>
    <col min="10" max="11" width="14" customWidth="1"/>
    <col min="12" max="12" width="14" hidden="1" customWidth="1"/>
    <col min="13" max="15" width="14" customWidth="1"/>
    <col min="16" max="16" width="10" customWidth="1"/>
    <col min="17" max="19" width="14" customWidth="1"/>
    <col min="20" max="20" width="11" customWidth="1"/>
    <col min="21" max="21" width="14" customWidth="1"/>
    <col min="22" max="23" width="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23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22</v>
      </c>
    </row>
    <row r="4" spans="1:23" x14ac:dyDescent="0.25">
      <c r="A4" s="5">
        <v>46082.125</v>
      </c>
      <c r="B4" s="5">
        <v>46054.125</v>
      </c>
      <c r="C4" s="5">
        <v>46082.125</v>
      </c>
      <c r="D4">
        <v>2072</v>
      </c>
      <c r="E4">
        <v>47770</v>
      </c>
      <c r="F4" t="s">
        <v>287</v>
      </c>
      <c r="G4" t="s">
        <v>288</v>
      </c>
      <c r="H4" t="s">
        <v>289</v>
      </c>
      <c r="I4" t="s">
        <v>290</v>
      </c>
      <c r="J4" s="6">
        <v>67.88</v>
      </c>
      <c r="K4" s="6">
        <v>0</v>
      </c>
      <c r="L4" s="6">
        <v>0</v>
      </c>
      <c r="M4" s="6">
        <v>67.88</v>
      </c>
      <c r="N4" s="6">
        <v>0</v>
      </c>
      <c r="O4" s="6">
        <v>0</v>
      </c>
      <c r="P4" s="6">
        <v>0</v>
      </c>
      <c r="Q4" s="6">
        <v>67.88</v>
      </c>
      <c r="R4" s="6">
        <f>M4-N4-O4</f>
      </c>
      <c r="S4" s="6">
        <f>Q4</f>
      </c>
      <c r="T4" s="7">
        <v>46112.125</v>
      </c>
      <c r="U4" s="6">
        <f>M4-N4-O4-P4-Q4</f>
      </c>
      <c r="W4" s="8"/>
    </row>
    <row r="5" spans="1:23" x14ac:dyDescent="0.25">
      <c r="A5" s="5">
        <v>46082.125</v>
      </c>
      <c r="B5" s="5">
        <v>46054.125</v>
      </c>
      <c r="C5" s="5">
        <v>46082.125</v>
      </c>
      <c r="D5">
        <v>1012</v>
      </c>
      <c r="E5">
        <v>47773</v>
      </c>
      <c r="F5" t="s">
        <v>291</v>
      </c>
      <c r="G5" t="s">
        <v>288</v>
      </c>
      <c r="H5" t="s">
        <v>292</v>
      </c>
      <c r="I5" t="s">
        <v>290</v>
      </c>
      <c r="J5" s="6">
        <v>1634.46</v>
      </c>
      <c r="K5" s="6">
        <v>503.16</v>
      </c>
      <c r="L5" s="6">
        <v>0</v>
      </c>
      <c r="M5" s="6">
        <v>2137.62</v>
      </c>
      <c r="N5" s="6">
        <v>0</v>
      </c>
      <c r="O5" s="6">
        <v>0</v>
      </c>
      <c r="P5" s="6">
        <v>0</v>
      </c>
      <c r="Q5" s="6">
        <v>2137.62</v>
      </c>
      <c r="R5" s="6">
        <f>M5-N5-O5</f>
      </c>
      <c r="S5" s="6">
        <f>Q5</f>
      </c>
      <c r="T5" s="7">
        <v>46112.125</v>
      </c>
      <c r="U5" s="6">
        <f>M5-N5-O5-P5-Q5</f>
      </c>
      <c r="W5" s="8"/>
    </row>
    <row r="6" spans="1:23" x14ac:dyDescent="0.25">
      <c r="A6" s="5">
        <v>46082.125</v>
      </c>
      <c r="B6" s="5">
        <v>46054.125</v>
      </c>
      <c r="C6" s="5">
        <v>46082.125</v>
      </c>
      <c r="D6">
        <v>464</v>
      </c>
      <c r="E6">
        <v>47774</v>
      </c>
      <c r="F6" t="s">
        <v>293</v>
      </c>
      <c r="G6" t="s">
        <v>288</v>
      </c>
      <c r="H6" t="s">
        <v>294</v>
      </c>
      <c r="I6" t="s">
        <v>295</v>
      </c>
      <c r="J6" s="6">
        <v>445.66</v>
      </c>
      <c r="K6" s="6">
        <v>357.11</v>
      </c>
      <c r="L6" s="6">
        <v>0</v>
      </c>
      <c r="M6" s="6">
        <v>802.77</v>
      </c>
      <c r="N6" s="6">
        <v>0</v>
      </c>
      <c r="O6" s="6">
        <v>17.42</v>
      </c>
      <c r="P6" s="6">
        <v>0</v>
      </c>
      <c r="Q6" s="6">
        <v>785.35</v>
      </c>
      <c r="R6" s="6">
        <f>M6-N6-O6</f>
      </c>
      <c r="S6" s="6">
        <f>Q6</f>
      </c>
      <c r="T6" s="7">
        <v>46112.125</v>
      </c>
      <c r="U6" s="6">
        <f>M6-N6-O6-P6-Q6</f>
      </c>
      <c r="W6" s="8"/>
    </row>
    <row r="7" spans="1:23" x14ac:dyDescent="0.25">
      <c r="A7" s="5">
        <v>46082.125</v>
      </c>
      <c r="B7" s="5">
        <v>46054.125</v>
      </c>
      <c r="C7" s="5">
        <v>46082.125</v>
      </c>
      <c r="D7">
        <v>82892</v>
      </c>
      <c r="E7">
        <v>47814</v>
      </c>
      <c r="F7" t="s">
        <v>296</v>
      </c>
      <c r="G7" t="s">
        <v>288</v>
      </c>
      <c r="H7" t="s">
        <v>297</v>
      </c>
      <c r="I7" t="s">
        <v>290</v>
      </c>
      <c r="J7" s="6">
        <v>234.23</v>
      </c>
      <c r="K7" s="6">
        <v>0</v>
      </c>
      <c r="L7" s="6">
        <v>0</v>
      </c>
      <c r="M7" s="6">
        <v>234.23</v>
      </c>
      <c r="N7" s="6">
        <v>0</v>
      </c>
      <c r="O7" s="6">
        <v>0</v>
      </c>
      <c r="P7" s="6">
        <v>0</v>
      </c>
      <c r="Q7" s="6">
        <v>234.23</v>
      </c>
      <c r="R7" s="6">
        <f>M7-N7-O7</f>
      </c>
      <c r="S7" s="6">
        <f>Q7</f>
      </c>
      <c r="T7" s="7">
        <v>46112.125</v>
      </c>
      <c r="U7" s="6">
        <f>M7-N7-O7-P7-Q7</f>
      </c>
      <c r="W7" s="8"/>
    </row>
    <row r="8" spans="1:23" x14ac:dyDescent="0.25">
      <c r="A8" s="5">
        <v>46082.125</v>
      </c>
      <c r="B8" s="5">
        <v>46054.125</v>
      </c>
      <c r="C8" s="5">
        <v>46082.125</v>
      </c>
      <c r="D8">
        <v>2082</v>
      </c>
      <c r="E8">
        <v>47826</v>
      </c>
      <c r="F8" t="s">
        <v>298</v>
      </c>
      <c r="G8" t="s">
        <v>288</v>
      </c>
      <c r="H8" t="s">
        <v>299</v>
      </c>
      <c r="I8" t="s">
        <v>300</v>
      </c>
      <c r="J8" s="6">
        <v>1750</v>
      </c>
      <c r="K8" s="6">
        <v>0</v>
      </c>
      <c r="L8" s="6">
        <v>0</v>
      </c>
      <c r="M8" s="6">
        <v>1750</v>
      </c>
      <c r="N8" s="6">
        <v>0</v>
      </c>
      <c r="O8" s="6">
        <v>35.18</v>
      </c>
      <c r="P8" s="6">
        <v>0</v>
      </c>
      <c r="Q8" s="6">
        <v>1714.82</v>
      </c>
      <c r="R8" s="6">
        <f>M8-N8-O8</f>
      </c>
      <c r="S8" s="6">
        <f>Q8</f>
      </c>
      <c r="T8" s="7">
        <v>46112.125</v>
      </c>
      <c r="U8" s="6">
        <f>M8-N8-O8-P8-Q8</f>
      </c>
      <c r="W8" s="8"/>
    </row>
    <row r="9" spans="1:23" x14ac:dyDescent="0.25">
      <c r="A9" s="5">
        <v>46082.125</v>
      </c>
      <c r="B9" s="5">
        <v>46054.125</v>
      </c>
      <c r="C9" s="5">
        <v>46082.125</v>
      </c>
      <c r="D9">
        <v>1039</v>
      </c>
      <c r="E9">
        <v>47832</v>
      </c>
      <c r="F9" t="s">
        <v>301</v>
      </c>
      <c r="G9" t="s">
        <v>288</v>
      </c>
      <c r="H9" t="s">
        <v>302</v>
      </c>
      <c r="I9" t="s">
        <v>303</v>
      </c>
      <c r="J9" s="6">
        <v>115.8</v>
      </c>
      <c r="K9" s="6">
        <v>119.66</v>
      </c>
      <c r="L9" s="6">
        <v>0</v>
      </c>
      <c r="M9" s="6">
        <v>235.46</v>
      </c>
      <c r="N9" s="6">
        <v>0</v>
      </c>
      <c r="O9" s="6">
        <v>5.11</v>
      </c>
      <c r="P9" s="6">
        <v>0</v>
      </c>
      <c r="Q9" s="6">
        <v>230.35</v>
      </c>
      <c r="R9" s="6">
        <f>M9-N9-O9</f>
      </c>
      <c r="S9" s="6">
        <f>Q9</f>
      </c>
      <c r="T9" s="7">
        <v>46112.125</v>
      </c>
      <c r="U9" s="6">
        <f>M9-N9-O9-P9-Q9</f>
      </c>
      <c r="W9" s="8"/>
    </row>
    <row r="10" spans="1:23" x14ac:dyDescent="0.25">
      <c r="A10" s="5">
        <v>46082.125</v>
      </c>
      <c r="B10" s="5">
        <v>46054.125</v>
      </c>
      <c r="C10" s="5">
        <v>46082.125</v>
      </c>
      <c r="D10">
        <v>493</v>
      </c>
      <c r="E10">
        <v>47838</v>
      </c>
      <c r="F10" t="s">
        <v>304</v>
      </c>
      <c r="G10" t="s">
        <v>288</v>
      </c>
      <c r="H10" t="s">
        <v>305</v>
      </c>
      <c r="I10" t="s">
        <v>290</v>
      </c>
      <c r="J10" s="6">
        <v>2169.28</v>
      </c>
      <c r="K10" s="6">
        <v>499.26</v>
      </c>
      <c r="L10" s="6">
        <v>0</v>
      </c>
      <c r="M10" s="6">
        <v>2668.54</v>
      </c>
      <c r="N10" s="6">
        <v>0</v>
      </c>
      <c r="O10" s="6">
        <v>0</v>
      </c>
      <c r="P10" s="6">
        <v>0</v>
      </c>
      <c r="Q10" s="6">
        <v>2668.54</v>
      </c>
      <c r="R10" s="6">
        <f>M10-N10-O10</f>
      </c>
      <c r="S10" s="6">
        <f>Q10</f>
      </c>
      <c r="T10" s="7">
        <v>46112.125</v>
      </c>
      <c r="U10" s="6">
        <f>M10-N10-O10-P10-Q10</f>
      </c>
      <c r="W10" s="8"/>
    </row>
    <row r="11" spans="1:23" x14ac:dyDescent="0.25">
      <c r="A11" s="5">
        <v>46082.125</v>
      </c>
      <c r="B11" s="5">
        <v>46054.125</v>
      </c>
      <c r="C11" s="5">
        <v>46082.125</v>
      </c>
      <c r="D11">
        <v>970</v>
      </c>
      <c r="E11">
        <v>47864</v>
      </c>
      <c r="F11" t="s">
        <v>306</v>
      </c>
      <c r="G11" t="s">
        <v>288</v>
      </c>
      <c r="H11" t="s">
        <v>307</v>
      </c>
      <c r="I11" t="s">
        <v>290</v>
      </c>
      <c r="J11" s="6">
        <v>834.91</v>
      </c>
      <c r="K11" s="6">
        <v>157.46</v>
      </c>
      <c r="L11" s="6">
        <v>0</v>
      </c>
      <c r="M11" s="6">
        <v>992.37</v>
      </c>
      <c r="N11" s="6">
        <v>0</v>
      </c>
      <c r="O11" s="6">
        <v>0</v>
      </c>
      <c r="P11" s="6">
        <v>0</v>
      </c>
      <c r="Q11" s="6">
        <v>992.37</v>
      </c>
      <c r="R11" s="6">
        <f>M11-N11-O11</f>
      </c>
      <c r="S11" s="6">
        <f>Q11</f>
      </c>
      <c r="T11" s="7">
        <v>46112.125</v>
      </c>
      <c r="U11" s="6">
        <f>M11-N11-O11-P11-Q11</f>
      </c>
      <c r="W11" s="8"/>
    </row>
    <row r="12" spans="1:23" x14ac:dyDescent="0.25">
      <c r="A12" s="5">
        <v>46082.125</v>
      </c>
      <c r="B12" s="5">
        <v>46054.125</v>
      </c>
      <c r="C12" s="5">
        <v>46082.125</v>
      </c>
      <c r="D12">
        <v>1058</v>
      </c>
      <c r="E12">
        <v>47893</v>
      </c>
      <c r="F12" t="s">
        <v>308</v>
      </c>
      <c r="G12" t="s">
        <v>288</v>
      </c>
      <c r="H12" t="s">
        <v>309</v>
      </c>
      <c r="I12" t="s">
        <v>310</v>
      </c>
      <c r="J12" s="6">
        <v>954.1</v>
      </c>
      <c r="K12" s="6">
        <v>595.84</v>
      </c>
      <c r="L12" s="6">
        <v>0</v>
      </c>
      <c r="M12" s="6">
        <v>1549.94</v>
      </c>
      <c r="N12" s="6">
        <v>0</v>
      </c>
      <c r="O12" s="6">
        <v>52.08</v>
      </c>
      <c r="P12" s="6">
        <v>0</v>
      </c>
      <c r="Q12" s="6">
        <v>1497.86</v>
      </c>
      <c r="R12" s="6">
        <f>M12-N12-O12</f>
      </c>
      <c r="S12" s="6">
        <f>Q12</f>
      </c>
      <c r="T12" s="7">
        <v>46112.125</v>
      </c>
      <c r="U12" s="6">
        <f>M12-N12-O12-P12-Q12</f>
      </c>
      <c r="W12" s="8"/>
    </row>
    <row r="13" spans="1:23" x14ac:dyDescent="0.25">
      <c r="A13" s="5">
        <v>46082.125</v>
      </c>
      <c r="B13" s="5">
        <v>46054.125</v>
      </c>
      <c r="C13" s="5">
        <v>46082.125</v>
      </c>
      <c r="D13">
        <v>1031</v>
      </c>
      <c r="E13">
        <v>47984</v>
      </c>
      <c r="F13" t="s">
        <v>311</v>
      </c>
      <c r="G13" t="s">
        <v>288</v>
      </c>
      <c r="H13" t="s">
        <v>312</v>
      </c>
      <c r="I13" t="s">
        <v>290</v>
      </c>
      <c r="J13" s="6">
        <v>910.64</v>
      </c>
      <c r="K13" s="6">
        <v>189.17</v>
      </c>
      <c r="L13" s="6">
        <v>0</v>
      </c>
      <c r="M13" s="6">
        <v>1099.81</v>
      </c>
      <c r="N13" s="6">
        <v>0</v>
      </c>
      <c r="O13" s="6">
        <v>0</v>
      </c>
      <c r="P13" s="6">
        <v>0</v>
      </c>
      <c r="Q13" s="6">
        <v>1099.81</v>
      </c>
      <c r="R13" s="6">
        <f>M13-N13-O13</f>
      </c>
      <c r="S13" s="6">
        <f>Q13</f>
      </c>
      <c r="T13" s="7">
        <v>46112.125</v>
      </c>
      <c r="U13" s="6">
        <f>M13-N13-O13-P13-Q13</f>
      </c>
      <c r="W13" s="8"/>
    </row>
    <row r="14" spans="1:23" x14ac:dyDescent="0.25">
      <c r="A14" s="5">
        <v>46082.125</v>
      </c>
      <c r="B14" s="5">
        <v>46054.125</v>
      </c>
      <c r="C14" s="5">
        <v>46082.125</v>
      </c>
      <c r="D14">
        <v>795</v>
      </c>
      <c r="E14">
        <v>48030</v>
      </c>
      <c r="F14" t="s">
        <v>313</v>
      </c>
      <c r="G14" t="s">
        <v>288</v>
      </c>
      <c r="H14" t="s">
        <v>314</v>
      </c>
      <c r="I14" t="s">
        <v>315</v>
      </c>
      <c r="J14" s="6">
        <v>0</v>
      </c>
      <c r="K14" s="6">
        <v>566.92</v>
      </c>
      <c r="L14" s="6">
        <v>0</v>
      </c>
      <c r="M14" s="6">
        <v>566.92</v>
      </c>
      <c r="N14" s="6">
        <v>0</v>
      </c>
      <c r="O14" s="6">
        <v>0</v>
      </c>
      <c r="P14" s="6">
        <v>0</v>
      </c>
      <c r="Q14" s="6">
        <v>566.92</v>
      </c>
      <c r="R14" s="6">
        <f>M14-N14-O14</f>
      </c>
      <c r="S14" s="6">
        <f>Q14</f>
      </c>
      <c r="T14" s="7">
        <v>46112.125</v>
      </c>
      <c r="U14" s="6">
        <f>M14-N14-O14-P14-Q14</f>
      </c>
      <c r="W14" s="8"/>
    </row>
    <row r="15" spans="1:23" x14ac:dyDescent="0.25">
      <c r="A15" s="5">
        <v>46082.125</v>
      </c>
      <c r="B15" s="5">
        <v>46054.125</v>
      </c>
      <c r="C15" s="5">
        <v>46082.125</v>
      </c>
      <c r="D15">
        <v>46</v>
      </c>
      <c r="E15">
        <v>48031</v>
      </c>
      <c r="F15" t="s">
        <v>316</v>
      </c>
      <c r="G15" t="s">
        <v>288</v>
      </c>
      <c r="H15" t="s">
        <v>317</v>
      </c>
      <c r="I15" t="s">
        <v>318</v>
      </c>
      <c r="J15" s="6">
        <v>6715</v>
      </c>
      <c r="K15" s="6">
        <v>4335</v>
      </c>
      <c r="L15" s="6">
        <v>0</v>
      </c>
      <c r="M15" s="6">
        <v>11050</v>
      </c>
      <c r="N15" s="6">
        <v>0</v>
      </c>
      <c r="O15" s="6">
        <v>310.51</v>
      </c>
      <c r="P15" s="6">
        <v>0</v>
      </c>
      <c r="Q15" s="6">
        <v>10739.49</v>
      </c>
      <c r="R15" s="6">
        <f>M15-N15-O15</f>
      </c>
      <c r="S15" s="6">
        <f>Q15</f>
      </c>
      <c r="T15" s="7">
        <v>46112.125</v>
      </c>
      <c r="U15" s="6">
        <f>M15-N15-O15-P15-Q15</f>
      </c>
      <c r="W15" s="8"/>
    </row>
    <row r="16" spans="1:23" x14ac:dyDescent="0.25">
      <c r="A16" s="5">
        <v>46082.125</v>
      </c>
      <c r="B16" s="5">
        <v>46054.125</v>
      </c>
      <c r="C16" s="5">
        <v>46082.125</v>
      </c>
      <c r="D16">
        <v>833</v>
      </c>
      <c r="E16">
        <v>48034</v>
      </c>
      <c r="F16" t="s">
        <v>319</v>
      </c>
      <c r="G16" t="s">
        <v>288</v>
      </c>
      <c r="H16" t="s">
        <v>320</v>
      </c>
      <c r="I16" t="s">
        <v>290</v>
      </c>
      <c r="J16" s="6">
        <v>1983.1</v>
      </c>
      <c r="K16" s="6">
        <v>900.82</v>
      </c>
      <c r="L16" s="6">
        <v>0</v>
      </c>
      <c r="M16" s="6">
        <v>2883.92</v>
      </c>
      <c r="N16" s="6">
        <v>0</v>
      </c>
      <c r="O16" s="6">
        <v>0</v>
      </c>
      <c r="P16" s="6">
        <v>0</v>
      </c>
      <c r="Q16" s="6">
        <v>2883.92</v>
      </c>
      <c r="R16" s="6">
        <f>M16-N16-O16</f>
      </c>
      <c r="S16" s="6">
        <f>Q16</f>
      </c>
      <c r="T16" s="7">
        <v>46112.125</v>
      </c>
      <c r="U16" s="6">
        <f>M16-N16-O16-P16-Q16</f>
      </c>
      <c r="W16" s="8"/>
    </row>
    <row r="17" spans="1:23" x14ac:dyDescent="0.25">
      <c r="A17" s="5">
        <v>46082.125</v>
      </c>
      <c r="B17" s="5">
        <v>46054.125</v>
      </c>
      <c r="C17" s="5">
        <v>46082.125</v>
      </c>
      <c r="D17">
        <v>2033</v>
      </c>
      <c r="E17">
        <v>48041</v>
      </c>
      <c r="F17" t="s">
        <v>321</v>
      </c>
      <c r="G17" t="s">
        <v>288</v>
      </c>
      <c r="H17" t="s">
        <v>322</v>
      </c>
      <c r="I17" t="s">
        <v>323</v>
      </c>
      <c r="J17" s="6">
        <v>784.64</v>
      </c>
      <c r="K17" s="6">
        <v>289.08</v>
      </c>
      <c r="L17" s="6">
        <v>0</v>
      </c>
      <c r="M17" s="6">
        <v>1073.72</v>
      </c>
      <c r="N17" s="6">
        <v>0</v>
      </c>
      <c r="O17" s="6">
        <v>32.21</v>
      </c>
      <c r="P17" s="6">
        <v>0</v>
      </c>
      <c r="Q17" s="6">
        <v>1041.51</v>
      </c>
      <c r="R17" s="6">
        <f>M17-N17-O17</f>
      </c>
      <c r="S17" s="6">
        <f>Q17</f>
      </c>
      <c r="T17" s="7">
        <v>46112.125</v>
      </c>
      <c r="U17" s="6">
        <f>M17-N17-O17-P17-Q17</f>
      </c>
      <c r="W17" s="8"/>
    </row>
    <row r="18" spans="1:23" x14ac:dyDescent="0.25">
      <c r="A18" s="5">
        <v>46082.125</v>
      </c>
      <c r="B18" s="5">
        <v>46054.125</v>
      </c>
      <c r="C18" s="5">
        <v>46082.125</v>
      </c>
      <c r="D18">
        <v>347</v>
      </c>
      <c r="E18">
        <v>48043</v>
      </c>
      <c r="F18" t="s">
        <v>324</v>
      </c>
      <c r="G18" t="s">
        <v>288</v>
      </c>
      <c r="H18" t="s">
        <v>325</v>
      </c>
      <c r="I18" t="s">
        <v>290</v>
      </c>
      <c r="J18" s="6">
        <v>3532.49</v>
      </c>
      <c r="K18" s="6">
        <v>684.82</v>
      </c>
      <c r="L18" s="6">
        <v>0</v>
      </c>
      <c r="M18" s="6">
        <v>4217.31</v>
      </c>
      <c r="N18" s="6">
        <v>0</v>
      </c>
      <c r="O18" s="6">
        <v>0</v>
      </c>
      <c r="P18" s="6">
        <v>0</v>
      </c>
      <c r="Q18" s="6">
        <v>4217.31</v>
      </c>
      <c r="R18" s="6">
        <f>M18-N18-O18</f>
      </c>
      <c r="S18" s="6">
        <f>Q18</f>
      </c>
      <c r="T18" s="7">
        <v>46112.125</v>
      </c>
      <c r="U18" s="6">
        <f>M18-N18-O18-P18-Q18</f>
      </c>
      <c r="W18" s="8"/>
    </row>
    <row r="19" spans="1:23" x14ac:dyDescent="0.25">
      <c r="A19" s="5">
        <v>46082.125</v>
      </c>
      <c r="B19" s="5">
        <v>46054.125</v>
      </c>
      <c r="C19" s="5">
        <v>46082.125</v>
      </c>
      <c r="D19">
        <v>625</v>
      </c>
      <c r="E19">
        <v>48044</v>
      </c>
      <c r="F19" t="s">
        <v>326</v>
      </c>
      <c r="G19" t="s">
        <v>288</v>
      </c>
      <c r="H19" t="s">
        <v>327</v>
      </c>
      <c r="I19" t="s">
        <v>290</v>
      </c>
      <c r="J19" s="6">
        <v>4400.21</v>
      </c>
      <c r="K19" s="6">
        <v>1630.96</v>
      </c>
      <c r="L19" s="6">
        <v>0</v>
      </c>
      <c r="M19" s="6">
        <v>6031.17</v>
      </c>
      <c r="N19" s="6">
        <v>0</v>
      </c>
      <c r="O19" s="6">
        <v>0</v>
      </c>
      <c r="P19" s="6">
        <v>0</v>
      </c>
      <c r="Q19" s="6">
        <v>6031.17</v>
      </c>
      <c r="R19" s="6">
        <f>M19-N19-O19</f>
      </c>
      <c r="S19" s="6">
        <f>Q19</f>
      </c>
      <c r="T19" s="7">
        <v>46112.125</v>
      </c>
      <c r="U19" s="6">
        <f>M19-N19-O19-P19-Q19</f>
      </c>
      <c r="W19" s="8"/>
    </row>
    <row r="20" spans="1:23" x14ac:dyDescent="0.25">
      <c r="A20" s="5">
        <v>46082.125</v>
      </c>
      <c r="B20" s="5">
        <v>46054.125</v>
      </c>
      <c r="C20" s="5">
        <v>46082.125</v>
      </c>
      <c r="D20">
        <v>482</v>
      </c>
      <c r="E20">
        <v>48045</v>
      </c>
      <c r="F20" t="s">
        <v>328</v>
      </c>
      <c r="G20" t="s">
        <v>288</v>
      </c>
      <c r="H20" t="s">
        <v>329</v>
      </c>
      <c r="I20" t="s">
        <v>330</v>
      </c>
      <c r="J20" s="6">
        <v>822.56</v>
      </c>
      <c r="K20" s="6">
        <v>601</v>
      </c>
      <c r="L20" s="6">
        <v>0</v>
      </c>
      <c r="M20" s="6">
        <v>1423.56</v>
      </c>
      <c r="N20" s="6">
        <v>0</v>
      </c>
      <c r="O20" s="6">
        <v>51.53</v>
      </c>
      <c r="P20" s="6">
        <v>0</v>
      </c>
      <c r="Q20" s="6">
        <v>1372.03</v>
      </c>
      <c r="R20" s="6">
        <f>M20-N20-O20</f>
      </c>
      <c r="S20" s="6">
        <f>Q20</f>
      </c>
      <c r="T20" s="7">
        <v>46112.125</v>
      </c>
      <c r="U20" s="6">
        <f>M20-N20-O20-P20-Q20</f>
      </c>
      <c r="W20" s="8"/>
    </row>
    <row r="21" spans="1:23" x14ac:dyDescent="0.25">
      <c r="A21" s="5">
        <v>46082.125</v>
      </c>
      <c r="B21" s="5">
        <v>46054.125</v>
      </c>
      <c r="C21" s="5">
        <v>46082.125</v>
      </c>
      <c r="D21">
        <v>329</v>
      </c>
      <c r="E21">
        <v>48047</v>
      </c>
      <c r="F21" t="s">
        <v>331</v>
      </c>
      <c r="G21" t="s">
        <v>288</v>
      </c>
      <c r="H21" t="s">
        <v>332</v>
      </c>
      <c r="I21" t="s">
        <v>290</v>
      </c>
      <c r="J21" s="6">
        <v>2390.55</v>
      </c>
      <c r="K21" s="6">
        <v>319.42</v>
      </c>
      <c r="L21" s="6">
        <v>0</v>
      </c>
      <c r="M21" s="6">
        <v>2709.97</v>
      </c>
      <c r="N21" s="6">
        <v>0</v>
      </c>
      <c r="O21" s="6">
        <v>0</v>
      </c>
      <c r="P21" s="6">
        <v>0</v>
      </c>
      <c r="Q21" s="6">
        <v>2709.97</v>
      </c>
      <c r="R21" s="6">
        <f>M21-N21-O21</f>
      </c>
      <c r="S21" s="6">
        <f>Q21</f>
      </c>
      <c r="T21" s="7">
        <v>46112.125</v>
      </c>
      <c r="U21" s="6">
        <f>M21-N21-O21-P21-Q21</f>
      </c>
      <c r="W21" s="8"/>
    </row>
    <row r="22" spans="1:23" x14ac:dyDescent="0.25">
      <c r="A22" s="5">
        <v>46082.125</v>
      </c>
      <c r="B22" s="5">
        <v>46054.125</v>
      </c>
      <c r="C22" s="5">
        <v>46082.125</v>
      </c>
      <c r="D22">
        <v>794</v>
      </c>
      <c r="E22">
        <v>48048</v>
      </c>
      <c r="F22" t="s">
        <v>333</v>
      </c>
      <c r="G22" t="s">
        <v>288</v>
      </c>
      <c r="H22" t="s">
        <v>334</v>
      </c>
      <c r="I22" t="s">
        <v>290</v>
      </c>
      <c r="J22" s="6">
        <v>0</v>
      </c>
      <c r="K22" s="6">
        <v>121.28</v>
      </c>
      <c r="L22" s="6">
        <v>0</v>
      </c>
      <c r="M22" s="6">
        <v>121.28</v>
      </c>
      <c r="N22" s="6">
        <v>0</v>
      </c>
      <c r="O22" s="6">
        <v>0</v>
      </c>
      <c r="P22" s="6">
        <v>0</v>
      </c>
      <c r="Q22" s="6">
        <v>121.28</v>
      </c>
      <c r="R22" s="6">
        <f>M22-N22-O22</f>
      </c>
      <c r="S22" s="6">
        <f>Q22</f>
      </c>
      <c r="T22" s="7">
        <v>46112.125</v>
      </c>
      <c r="U22" s="6">
        <f>M22-N22-O22-P22-Q22</f>
      </c>
      <c r="W22" s="8"/>
    </row>
    <row r="23" spans="1:23" x14ac:dyDescent="0.25">
      <c r="A23" s="5">
        <v>46082.125</v>
      </c>
      <c r="B23" s="5">
        <v>46054.125</v>
      </c>
      <c r="C23" s="5">
        <v>46082.125</v>
      </c>
      <c r="D23">
        <v>122</v>
      </c>
      <c r="E23">
        <v>48053</v>
      </c>
      <c r="F23" t="s">
        <v>335</v>
      </c>
      <c r="G23" t="s">
        <v>288</v>
      </c>
      <c r="H23" t="s">
        <v>336</v>
      </c>
      <c r="I23" t="s">
        <v>290</v>
      </c>
      <c r="J23" s="6">
        <v>3388.38</v>
      </c>
      <c r="K23" s="6">
        <v>463.91</v>
      </c>
      <c r="L23" s="6">
        <v>0</v>
      </c>
      <c r="M23" s="6">
        <v>3852.29</v>
      </c>
      <c r="N23" s="6">
        <v>0</v>
      </c>
      <c r="O23" s="6">
        <v>0</v>
      </c>
      <c r="P23" s="6">
        <v>0</v>
      </c>
      <c r="Q23" s="6">
        <v>3852.29</v>
      </c>
      <c r="R23" s="6">
        <f>M23-N23-O23</f>
      </c>
      <c r="S23" s="6">
        <f>Q23</f>
      </c>
      <c r="T23" s="7">
        <v>46112.125</v>
      </c>
      <c r="U23" s="6">
        <f>M23-N23-O23-P23-Q23</f>
      </c>
      <c r="W23" s="8"/>
    </row>
    <row r="24" spans="1:23" x14ac:dyDescent="0.25">
      <c r="A24" s="5">
        <v>46082.125</v>
      </c>
      <c r="B24" s="5">
        <v>46054.125</v>
      </c>
      <c r="C24" s="5">
        <v>46082.125</v>
      </c>
      <c r="D24">
        <v>52</v>
      </c>
      <c r="E24">
        <v>48056</v>
      </c>
      <c r="F24" t="s">
        <v>337</v>
      </c>
      <c r="G24" t="s">
        <v>288</v>
      </c>
      <c r="H24" t="s">
        <v>338</v>
      </c>
      <c r="I24" t="s">
        <v>290</v>
      </c>
      <c r="J24" s="6">
        <v>17795.21</v>
      </c>
      <c r="K24" s="6">
        <v>955.59</v>
      </c>
      <c r="L24" s="6">
        <v>0</v>
      </c>
      <c r="M24" s="6">
        <v>18750.8</v>
      </c>
      <c r="N24" s="6">
        <v>0</v>
      </c>
      <c r="O24" s="6">
        <v>0</v>
      </c>
      <c r="P24" s="6">
        <v>0</v>
      </c>
      <c r="Q24" s="6">
        <v>18750.8</v>
      </c>
      <c r="R24" s="6">
        <f>M24-N24-O24</f>
      </c>
      <c r="S24" s="6">
        <f>Q24</f>
      </c>
      <c r="T24" s="7">
        <v>46112.125</v>
      </c>
      <c r="U24" s="6">
        <f>M24-N24-O24-P24-Q24</f>
      </c>
      <c r="W24" s="8"/>
    </row>
    <row r="25" spans="1:23" x14ac:dyDescent="0.25">
      <c r="A25" s="5">
        <v>46082.125</v>
      </c>
      <c r="B25" s="5">
        <v>46054.125</v>
      </c>
      <c r="C25" s="5">
        <v>46082.125</v>
      </c>
      <c r="D25">
        <v>2049</v>
      </c>
      <c r="E25">
        <v>48057</v>
      </c>
      <c r="F25" t="s">
        <v>339</v>
      </c>
      <c r="G25" t="s">
        <v>288</v>
      </c>
      <c r="H25" t="s">
        <v>340</v>
      </c>
      <c r="I25" t="s">
        <v>290</v>
      </c>
      <c r="J25" s="6">
        <v>0</v>
      </c>
      <c r="K25" s="6">
        <v>18</v>
      </c>
      <c r="L25" s="6">
        <v>0</v>
      </c>
      <c r="M25" s="6">
        <v>18</v>
      </c>
      <c r="N25" s="6">
        <v>0</v>
      </c>
      <c r="O25" s="6">
        <v>0</v>
      </c>
      <c r="P25" s="6">
        <v>0</v>
      </c>
      <c r="Q25" s="6">
        <v>18</v>
      </c>
      <c r="R25" s="6">
        <f>M25-N25-O25</f>
      </c>
      <c r="S25" s="6">
        <f>Q25</f>
      </c>
      <c r="T25" s="7">
        <v>46112.125</v>
      </c>
      <c r="U25" s="6">
        <f>M25-N25-O25-P25-Q25</f>
      </c>
      <c r="W25" s="8"/>
    </row>
    <row r="26" spans="1:23" x14ac:dyDescent="0.25">
      <c r="A26" s="5">
        <v>46082.125</v>
      </c>
      <c r="B26" s="5">
        <v>46054.125</v>
      </c>
      <c r="C26" s="5">
        <v>46082.125</v>
      </c>
      <c r="D26">
        <v>1092</v>
      </c>
      <c r="E26">
        <v>48058</v>
      </c>
      <c r="F26" t="s">
        <v>339</v>
      </c>
      <c r="G26" t="s">
        <v>288</v>
      </c>
      <c r="H26" t="s">
        <v>340</v>
      </c>
      <c r="I26" t="s">
        <v>290</v>
      </c>
      <c r="J26" s="6">
        <v>154.64</v>
      </c>
      <c r="K26" s="6">
        <v>56.32</v>
      </c>
      <c r="L26" s="6">
        <v>0</v>
      </c>
      <c r="M26" s="6">
        <v>210.96</v>
      </c>
      <c r="N26" s="6">
        <v>0</v>
      </c>
      <c r="O26" s="6">
        <v>0</v>
      </c>
      <c r="P26" s="6">
        <v>0</v>
      </c>
      <c r="Q26" s="6">
        <v>210.96</v>
      </c>
      <c r="R26" s="6">
        <f>M26-N26-O26</f>
      </c>
      <c r="S26" s="6">
        <f>Q26</f>
      </c>
      <c r="T26" s="7">
        <v>46112.125</v>
      </c>
      <c r="U26" s="6">
        <f>M26-N26-O26-P26-Q26</f>
      </c>
      <c r="W26" s="8"/>
    </row>
    <row r="27" spans="1:23" x14ac:dyDescent="0.25">
      <c r="A27" s="5">
        <v>46082.125</v>
      </c>
      <c r="B27" s="5">
        <v>46054.125</v>
      </c>
      <c r="C27" s="5">
        <v>46082.125</v>
      </c>
      <c r="D27">
        <v>105</v>
      </c>
      <c r="E27">
        <v>48059</v>
      </c>
      <c r="F27" t="s">
        <v>339</v>
      </c>
      <c r="G27" t="s">
        <v>288</v>
      </c>
      <c r="H27" t="s">
        <v>340</v>
      </c>
      <c r="I27" t="s">
        <v>290</v>
      </c>
      <c r="J27" s="6">
        <v>959.48</v>
      </c>
      <c r="K27" s="6">
        <v>971.58</v>
      </c>
      <c r="L27" s="6">
        <v>0</v>
      </c>
      <c r="M27" s="6">
        <v>1931.06</v>
      </c>
      <c r="N27" s="6">
        <v>0</v>
      </c>
      <c r="O27" s="6">
        <v>0</v>
      </c>
      <c r="P27" s="6">
        <v>0</v>
      </c>
      <c r="Q27" s="6">
        <v>1931.06</v>
      </c>
      <c r="R27" s="6">
        <f>M27-N27-O27</f>
      </c>
      <c r="S27" s="6">
        <f>Q27</f>
      </c>
      <c r="T27" s="7">
        <v>46112.125</v>
      </c>
      <c r="U27" s="6">
        <f>M27-N27-O27-P27-Q27</f>
      </c>
      <c r="W27" s="8"/>
    </row>
    <row r="28" spans="1:23" x14ac:dyDescent="0.25">
      <c r="A28" s="5">
        <v>46082.125</v>
      </c>
      <c r="B28" s="5">
        <v>46054.125</v>
      </c>
      <c r="C28" s="5">
        <v>46082.125</v>
      </c>
      <c r="D28">
        <v>2019</v>
      </c>
      <c r="E28">
        <v>48061</v>
      </c>
      <c r="F28" t="s">
        <v>341</v>
      </c>
      <c r="G28" t="s">
        <v>288</v>
      </c>
      <c r="H28" t="s">
        <v>342</v>
      </c>
      <c r="I28" t="s">
        <v>323</v>
      </c>
      <c r="J28" s="6">
        <v>1766.24</v>
      </c>
      <c r="K28" s="6">
        <v>864.58</v>
      </c>
      <c r="L28" s="6">
        <v>0</v>
      </c>
      <c r="M28" s="6">
        <v>2630.82</v>
      </c>
      <c r="N28" s="6">
        <v>0</v>
      </c>
      <c r="O28" s="6">
        <v>131.54</v>
      </c>
      <c r="P28" s="6">
        <v>0</v>
      </c>
      <c r="Q28" s="6">
        <v>2499.28</v>
      </c>
      <c r="R28" s="6">
        <f>M28-N28-O28</f>
      </c>
      <c r="S28" s="6">
        <f>Q28</f>
      </c>
      <c r="T28" s="7">
        <v>46112.125</v>
      </c>
      <c r="U28" s="6">
        <f>M28-N28-O28-P28-Q28</f>
      </c>
      <c r="W28" s="8"/>
    </row>
    <row r="29" spans="1:23" x14ac:dyDescent="0.25">
      <c r="A29" s="5">
        <v>46082.125</v>
      </c>
      <c r="B29" s="5">
        <v>46054.125</v>
      </c>
      <c r="C29" s="5">
        <v>46082.125</v>
      </c>
      <c r="D29">
        <v>2000</v>
      </c>
      <c r="E29">
        <v>48062</v>
      </c>
      <c r="F29" t="s">
        <v>343</v>
      </c>
      <c r="G29" t="s">
        <v>288</v>
      </c>
      <c r="H29" t="s">
        <v>344</v>
      </c>
      <c r="I29" t="s">
        <v>290</v>
      </c>
      <c r="J29" s="6">
        <v>25724.51</v>
      </c>
      <c r="K29" s="6">
        <v>1813.94</v>
      </c>
      <c r="L29" s="6">
        <v>0</v>
      </c>
      <c r="M29" s="6">
        <v>27538.45</v>
      </c>
      <c r="N29" s="6">
        <v>0</v>
      </c>
      <c r="O29" s="6">
        <v>0</v>
      </c>
      <c r="P29" s="6">
        <v>0</v>
      </c>
      <c r="Q29" s="6">
        <v>27538.45</v>
      </c>
      <c r="R29" s="6">
        <f>M29-N29-O29</f>
      </c>
      <c r="S29" s="6">
        <f>Q29</f>
      </c>
      <c r="T29" s="7">
        <v>46112.125</v>
      </c>
      <c r="U29" s="6">
        <f>M29-N29-O29-P29-Q29</f>
      </c>
      <c r="W29" s="8"/>
    </row>
    <row r="30" spans="1:23" x14ac:dyDescent="0.25">
      <c r="A30" s="5">
        <v>46082.125</v>
      </c>
      <c r="B30" s="5">
        <v>46054.125</v>
      </c>
      <c r="C30" s="5">
        <v>46082.125</v>
      </c>
      <c r="D30">
        <v>971</v>
      </c>
      <c r="E30">
        <v>48064</v>
      </c>
      <c r="F30" t="s">
        <v>345</v>
      </c>
      <c r="G30" t="s">
        <v>288</v>
      </c>
      <c r="H30" t="s">
        <v>346</v>
      </c>
      <c r="I30" t="s">
        <v>303</v>
      </c>
      <c r="J30" s="6">
        <v>1222.97</v>
      </c>
      <c r="K30" s="6">
        <v>687.8</v>
      </c>
      <c r="L30" s="6">
        <v>0</v>
      </c>
      <c r="M30" s="6">
        <v>1910.77</v>
      </c>
      <c r="N30" s="6">
        <v>0</v>
      </c>
      <c r="O30" s="6">
        <v>57.32</v>
      </c>
      <c r="P30" s="6">
        <v>0</v>
      </c>
      <c r="Q30" s="6">
        <v>1853.45</v>
      </c>
      <c r="R30" s="6">
        <f>M30-N30-O30</f>
      </c>
      <c r="S30" s="6">
        <f>Q30</f>
      </c>
      <c r="T30" s="7">
        <v>46112.125</v>
      </c>
      <c r="U30" s="6">
        <f>M30-N30-O30-P30-Q30</f>
      </c>
      <c r="W30" s="8"/>
    </row>
    <row r="31" spans="1:23" x14ac:dyDescent="0.25">
      <c r="A31" s="5">
        <v>46082.125</v>
      </c>
      <c r="B31" s="5">
        <v>46054.125</v>
      </c>
      <c r="C31" s="5">
        <v>46082.125</v>
      </c>
      <c r="D31">
        <v>434</v>
      </c>
      <c r="E31">
        <v>48068</v>
      </c>
      <c r="F31" t="s">
        <v>347</v>
      </c>
      <c r="G31" t="s">
        <v>288</v>
      </c>
      <c r="H31" t="s">
        <v>348</v>
      </c>
      <c r="I31" t="s">
        <v>303</v>
      </c>
      <c r="J31" s="6">
        <v>97.94</v>
      </c>
      <c r="K31" s="6">
        <v>202.64</v>
      </c>
      <c r="L31" s="6">
        <v>0</v>
      </c>
      <c r="M31" s="6">
        <v>300.58</v>
      </c>
      <c r="N31" s="6">
        <v>0</v>
      </c>
      <c r="O31" s="6">
        <v>6.52</v>
      </c>
      <c r="P31" s="6">
        <v>0</v>
      </c>
      <c r="Q31" s="6">
        <v>294.06</v>
      </c>
      <c r="R31" s="6">
        <f>M31-N31-O31</f>
      </c>
      <c r="S31" s="6">
        <f>Q31</f>
      </c>
      <c r="T31" s="7">
        <v>46112.125</v>
      </c>
      <c r="U31" s="6">
        <f>M31-N31-O31-P31-Q31</f>
      </c>
      <c r="W31" s="8"/>
    </row>
    <row r="32" spans="1:23" x14ac:dyDescent="0.25">
      <c r="A32" s="5">
        <v>46082.125</v>
      </c>
      <c r="B32" s="5">
        <v>46054.125</v>
      </c>
      <c r="C32" s="5">
        <v>46082.125</v>
      </c>
      <c r="D32">
        <v>153</v>
      </c>
      <c r="E32">
        <v>48069</v>
      </c>
      <c r="F32" t="s">
        <v>349</v>
      </c>
      <c r="G32" t="s">
        <v>288</v>
      </c>
      <c r="H32" t="s">
        <v>350</v>
      </c>
      <c r="I32" t="s">
        <v>351</v>
      </c>
      <c r="J32" s="6">
        <v>944.26</v>
      </c>
      <c r="K32" s="6">
        <v>109.84</v>
      </c>
      <c r="L32" s="6">
        <v>0</v>
      </c>
      <c r="M32" s="6">
        <v>1054.1</v>
      </c>
      <c r="N32" s="6">
        <v>0</v>
      </c>
      <c r="O32" s="6">
        <v>0</v>
      </c>
      <c r="P32" s="6">
        <v>15.81</v>
      </c>
      <c r="Q32" s="6">
        <v>989.27</v>
      </c>
      <c r="R32" s="6">
        <f>M32-N32-O32</f>
      </c>
      <c r="S32" s="6">
        <f>Q32</f>
      </c>
      <c r="T32" s="7">
        <v>46112.125</v>
      </c>
      <c r="U32" s="6">
        <f>M32-N32-O32-P32-Q32</f>
      </c>
      <c r="W32" s="8"/>
    </row>
    <row r="33" spans="1:23" x14ac:dyDescent="0.25">
      <c r="A33" s="5">
        <v>46082.125</v>
      </c>
      <c r="B33" s="5">
        <v>46054.125</v>
      </c>
      <c r="C33" s="5">
        <v>46082.125</v>
      </c>
      <c r="D33">
        <v>1877</v>
      </c>
      <c r="E33">
        <v>48070</v>
      </c>
      <c r="F33" t="s">
        <v>352</v>
      </c>
      <c r="G33" t="s">
        <v>288</v>
      </c>
      <c r="H33" t="s">
        <v>353</v>
      </c>
      <c r="I33" t="s">
        <v>303</v>
      </c>
      <c r="J33" s="6">
        <v>7730.19</v>
      </c>
      <c r="K33" s="6">
        <v>3344.55</v>
      </c>
      <c r="L33" s="6">
        <v>0</v>
      </c>
      <c r="M33" s="6">
        <v>11074.74</v>
      </c>
      <c r="N33" s="6">
        <v>0</v>
      </c>
      <c r="O33" s="6">
        <v>332.24</v>
      </c>
      <c r="P33" s="6">
        <v>0</v>
      </c>
      <c r="Q33" s="6">
        <v>10742.5</v>
      </c>
      <c r="R33" s="6">
        <f>M33-N33-O33</f>
      </c>
      <c r="S33" s="6">
        <f>Q33</f>
      </c>
      <c r="T33" s="7">
        <v>46112.125</v>
      </c>
      <c r="U33" s="6">
        <f>M33-N33-O33-P33-Q33</f>
      </c>
      <c r="W33" s="8"/>
    </row>
    <row r="34" spans="1:23" x14ac:dyDescent="0.25">
      <c r="A34" s="5">
        <v>46082.125</v>
      </c>
      <c r="B34" s="5">
        <v>46054.125</v>
      </c>
      <c r="C34" s="5">
        <v>46082.125</v>
      </c>
      <c r="D34">
        <v>1975</v>
      </c>
      <c r="E34">
        <v>48071</v>
      </c>
      <c r="F34" t="s">
        <v>352</v>
      </c>
      <c r="G34" t="s">
        <v>288</v>
      </c>
      <c r="H34" t="s">
        <v>353</v>
      </c>
      <c r="I34" t="s">
        <v>303</v>
      </c>
      <c r="J34" s="6">
        <v>5572.9</v>
      </c>
      <c r="K34" s="6">
        <v>1719.79</v>
      </c>
      <c r="L34" s="6">
        <v>0</v>
      </c>
      <c r="M34" s="6">
        <v>7292.69</v>
      </c>
      <c r="N34" s="6">
        <v>0</v>
      </c>
      <c r="O34" s="6">
        <v>218.78</v>
      </c>
      <c r="P34" s="6">
        <v>0</v>
      </c>
      <c r="Q34" s="6">
        <v>7073.91</v>
      </c>
      <c r="R34" s="6">
        <f>M34-N34-O34</f>
      </c>
      <c r="S34" s="6">
        <f>Q34</f>
      </c>
      <c r="T34" s="7">
        <v>46112.125</v>
      </c>
      <c r="U34" s="6">
        <f>M34-N34-O34-P34-Q34</f>
      </c>
      <c r="W34" s="8"/>
    </row>
    <row r="35" spans="1:23" x14ac:dyDescent="0.25">
      <c r="A35" s="5">
        <v>46082.125</v>
      </c>
      <c r="B35" s="5">
        <v>46054.125</v>
      </c>
      <c r="C35" s="5">
        <v>46082.125</v>
      </c>
      <c r="D35">
        <v>1965</v>
      </c>
      <c r="E35">
        <v>48072</v>
      </c>
      <c r="F35" t="s">
        <v>352</v>
      </c>
      <c r="G35" t="s">
        <v>288</v>
      </c>
      <c r="H35" t="s">
        <v>353</v>
      </c>
      <c r="I35" t="s">
        <v>303</v>
      </c>
      <c r="J35" s="6">
        <v>8179.06</v>
      </c>
      <c r="K35" s="6">
        <v>3133.93</v>
      </c>
      <c r="L35" s="6">
        <v>0</v>
      </c>
      <c r="M35" s="6">
        <v>11312.99</v>
      </c>
      <c r="N35" s="6">
        <v>0</v>
      </c>
      <c r="O35" s="6">
        <v>339.39</v>
      </c>
      <c r="P35" s="6">
        <v>0</v>
      </c>
      <c r="Q35" s="6">
        <v>10973.6</v>
      </c>
      <c r="R35" s="6">
        <f>M35-N35-O35</f>
      </c>
      <c r="S35" s="6">
        <f>Q35</f>
      </c>
      <c r="T35" s="7">
        <v>46112.125</v>
      </c>
      <c r="U35" s="6">
        <f>M35-N35-O35-P35-Q35</f>
      </c>
      <c r="W35" s="8"/>
    </row>
    <row r="36" spans="1:23" x14ac:dyDescent="0.25">
      <c r="A36" s="5">
        <v>46082.125</v>
      </c>
      <c r="B36" s="5">
        <v>46054.125</v>
      </c>
      <c r="C36" s="5">
        <v>46082.125</v>
      </c>
      <c r="D36">
        <v>701</v>
      </c>
      <c r="E36">
        <v>48073</v>
      </c>
      <c r="F36" t="s">
        <v>354</v>
      </c>
      <c r="G36" t="s">
        <v>288</v>
      </c>
      <c r="H36" t="s">
        <v>355</v>
      </c>
      <c r="I36" t="s">
        <v>290</v>
      </c>
      <c r="J36" s="6">
        <v>9356.88</v>
      </c>
      <c r="K36" s="6">
        <v>3617.92</v>
      </c>
      <c r="L36" s="6">
        <v>0</v>
      </c>
      <c r="M36" s="6">
        <v>12974.8</v>
      </c>
      <c r="N36" s="6">
        <v>0</v>
      </c>
      <c r="O36" s="6">
        <v>0</v>
      </c>
      <c r="P36" s="6">
        <v>0</v>
      </c>
      <c r="Q36" s="6">
        <v>12974.8</v>
      </c>
      <c r="R36" s="6">
        <f>M36-N36-O36</f>
      </c>
      <c r="S36" s="6">
        <f>Q36</f>
      </c>
      <c r="T36" s="7">
        <v>46112.125</v>
      </c>
      <c r="U36" s="6">
        <f>M36-N36-O36-P36-Q36</f>
      </c>
      <c r="W36" s="8"/>
    </row>
    <row r="37" spans="1:23" x14ac:dyDescent="0.25">
      <c r="A37" s="5">
        <v>46082.125</v>
      </c>
      <c r="B37" s="5">
        <v>46054.125</v>
      </c>
      <c r="C37" s="5">
        <v>46082.125</v>
      </c>
      <c r="D37">
        <v>935</v>
      </c>
      <c r="E37">
        <v>48077</v>
      </c>
      <c r="F37" t="s">
        <v>356</v>
      </c>
      <c r="G37" t="s">
        <v>288</v>
      </c>
      <c r="H37" t="s">
        <v>357</v>
      </c>
      <c r="I37" t="s">
        <v>310</v>
      </c>
      <c r="J37" s="6">
        <v>570.24</v>
      </c>
      <c r="K37" s="6">
        <v>985.95</v>
      </c>
      <c r="L37" s="6">
        <v>0</v>
      </c>
      <c r="M37" s="6">
        <v>1556.19</v>
      </c>
      <c r="N37" s="6">
        <v>0</v>
      </c>
      <c r="O37" s="6">
        <v>42.17</v>
      </c>
      <c r="P37" s="6">
        <v>0</v>
      </c>
      <c r="Q37" s="6">
        <v>1514.02</v>
      </c>
      <c r="R37" s="6">
        <f>M37-N37-O37</f>
      </c>
      <c r="S37" s="6">
        <f>Q37</f>
      </c>
      <c r="T37" s="7">
        <v>46112.125</v>
      </c>
      <c r="U37" s="6">
        <f>M37-N37-O37-P37-Q37</f>
      </c>
      <c r="W37" s="8"/>
    </row>
    <row r="38" spans="1:23" x14ac:dyDescent="0.25">
      <c r="A38" s="5">
        <v>46082.125</v>
      </c>
      <c r="B38" s="5">
        <v>46054.125</v>
      </c>
      <c r="C38" s="5">
        <v>46082.125</v>
      </c>
      <c r="D38">
        <v>2027</v>
      </c>
      <c r="E38">
        <v>48080</v>
      </c>
      <c r="F38" t="s">
        <v>358</v>
      </c>
      <c r="G38" t="s">
        <v>288</v>
      </c>
      <c r="H38" t="s">
        <v>359</v>
      </c>
      <c r="I38" t="s">
        <v>323</v>
      </c>
      <c r="J38" s="6">
        <v>439.22</v>
      </c>
      <c r="K38" s="6">
        <v>270.89</v>
      </c>
      <c r="L38" s="6">
        <v>0</v>
      </c>
      <c r="M38" s="6">
        <v>710.11</v>
      </c>
      <c r="N38" s="6">
        <v>0</v>
      </c>
      <c r="O38" s="6">
        <v>15.41</v>
      </c>
      <c r="P38" s="6">
        <v>0</v>
      </c>
      <c r="Q38" s="6">
        <v>694.7</v>
      </c>
      <c r="R38" s="6">
        <f>M38-N38-O38</f>
      </c>
      <c r="S38" s="6">
        <f>Q38</f>
      </c>
      <c r="T38" s="7">
        <v>46112.125</v>
      </c>
      <c r="U38" s="6">
        <f>M38-N38-O38-P38-Q38</f>
      </c>
      <c r="W38" s="8"/>
    </row>
    <row r="39" spans="1:23" x14ac:dyDescent="0.25">
      <c r="A39" s="5">
        <v>46082.125</v>
      </c>
      <c r="B39" s="5">
        <v>46054.125</v>
      </c>
      <c r="C39" s="5">
        <v>46082.125</v>
      </c>
      <c r="D39">
        <v>2076</v>
      </c>
      <c r="E39">
        <v>48084</v>
      </c>
      <c r="F39" t="s">
        <v>360</v>
      </c>
      <c r="G39" t="s">
        <v>288</v>
      </c>
      <c r="H39" t="s">
        <v>361</v>
      </c>
      <c r="I39" t="s">
        <v>323</v>
      </c>
      <c r="J39" s="6">
        <v>889.45</v>
      </c>
      <c r="K39" s="6">
        <v>702.66</v>
      </c>
      <c r="L39" s="6">
        <v>0</v>
      </c>
      <c r="M39" s="6">
        <v>1592.11</v>
      </c>
      <c r="N39" s="6">
        <v>0</v>
      </c>
      <c r="O39" s="6">
        <v>34.55</v>
      </c>
      <c r="P39" s="6">
        <v>0</v>
      </c>
      <c r="Q39" s="6">
        <v>1557.56</v>
      </c>
      <c r="R39" s="6">
        <f>M39-N39-O39</f>
      </c>
      <c r="S39" s="6">
        <f>Q39</f>
      </c>
      <c r="T39" s="7">
        <v>46112.125</v>
      </c>
      <c r="U39" s="6">
        <f>M39-N39-O39-P39-Q39</f>
      </c>
      <c r="W39" s="8"/>
    </row>
    <row r="40" spans="1:23" x14ac:dyDescent="0.25">
      <c r="A40" s="5">
        <v>46082.125</v>
      </c>
      <c r="B40" s="5">
        <v>46054.125</v>
      </c>
      <c r="C40" s="5">
        <v>46082.125</v>
      </c>
      <c r="D40">
        <v>1031</v>
      </c>
      <c r="E40">
        <v>48085</v>
      </c>
      <c r="F40" t="s">
        <v>311</v>
      </c>
      <c r="G40" t="s">
        <v>288</v>
      </c>
      <c r="H40" t="s">
        <v>312</v>
      </c>
      <c r="I40" t="s">
        <v>290</v>
      </c>
      <c r="J40" s="6">
        <v>517</v>
      </c>
      <c r="K40" s="6">
        <v>29.11</v>
      </c>
      <c r="L40" s="6">
        <v>0</v>
      </c>
      <c r="M40" s="6">
        <v>546.11</v>
      </c>
      <c r="N40" s="6">
        <v>0</v>
      </c>
      <c r="O40" s="6">
        <v>0</v>
      </c>
      <c r="P40" s="6">
        <v>0</v>
      </c>
      <c r="Q40" s="6">
        <v>546.11</v>
      </c>
      <c r="R40" s="6">
        <f>M40-N40-O40</f>
      </c>
      <c r="S40" s="6">
        <f>Q40</f>
      </c>
      <c r="T40" s="7">
        <v>46112.125</v>
      </c>
      <c r="U40" s="6">
        <f>M40-N40-O40-P40-Q40</f>
      </c>
      <c r="W40" s="8"/>
    </row>
    <row r="41" spans="1:23" x14ac:dyDescent="0.25">
      <c r="A41" s="5">
        <v>46082.125</v>
      </c>
      <c r="B41" s="5">
        <v>46054.125</v>
      </c>
      <c r="C41" s="5">
        <v>46082.125</v>
      </c>
      <c r="D41">
        <v>1034</v>
      </c>
      <c r="E41">
        <v>48086</v>
      </c>
      <c r="F41" t="s">
        <v>362</v>
      </c>
      <c r="G41" t="s">
        <v>288</v>
      </c>
      <c r="H41" t="s">
        <v>363</v>
      </c>
      <c r="I41" t="s">
        <v>323</v>
      </c>
      <c r="J41" s="6">
        <v>851.42</v>
      </c>
      <c r="K41" s="6">
        <v>1248.58</v>
      </c>
      <c r="L41" s="6">
        <v>0</v>
      </c>
      <c r="M41" s="6">
        <v>2100</v>
      </c>
      <c r="N41" s="6">
        <v>0</v>
      </c>
      <c r="O41" s="6">
        <v>42.21</v>
      </c>
      <c r="P41" s="6">
        <v>0</v>
      </c>
      <c r="Q41" s="6">
        <v>2057.79</v>
      </c>
      <c r="R41" s="6">
        <f>M41-N41-O41</f>
      </c>
      <c r="S41" s="6">
        <f>Q41</f>
      </c>
      <c r="T41" s="7">
        <v>46112.125</v>
      </c>
      <c r="U41" s="6">
        <f>M41-N41-O41-P41-Q41</f>
      </c>
      <c r="W41" s="8"/>
    </row>
    <row r="42" spans="1:23" x14ac:dyDescent="0.25">
      <c r="A42" s="5">
        <v>46082.125</v>
      </c>
      <c r="B42" s="5">
        <v>46054.125</v>
      </c>
      <c r="C42" s="5">
        <v>46082.125</v>
      </c>
      <c r="D42">
        <v>1087</v>
      </c>
      <c r="E42">
        <v>48089</v>
      </c>
      <c r="F42" t="s">
        <v>364</v>
      </c>
      <c r="G42" t="s">
        <v>288</v>
      </c>
      <c r="H42" t="s">
        <v>365</v>
      </c>
      <c r="I42" t="s">
        <v>351</v>
      </c>
      <c r="J42" s="6">
        <v>272</v>
      </c>
      <c r="K42" s="6">
        <v>0</v>
      </c>
      <c r="L42" s="6">
        <v>0</v>
      </c>
      <c r="M42" s="6">
        <v>272</v>
      </c>
      <c r="N42" s="6">
        <v>0</v>
      </c>
      <c r="O42" s="6">
        <v>0</v>
      </c>
      <c r="P42" s="6">
        <v>0</v>
      </c>
      <c r="Q42" s="6">
        <v>272</v>
      </c>
      <c r="R42" s="6">
        <f>M42-N42-O42</f>
      </c>
      <c r="S42" s="6">
        <f>Q42</f>
      </c>
      <c r="T42" s="7">
        <v>46112.125</v>
      </c>
      <c r="U42" s="6">
        <f>M42-N42-O42-P42-Q42</f>
      </c>
      <c r="W42" s="8"/>
    </row>
    <row r="43" spans="1:23" x14ac:dyDescent="0.25">
      <c r="A43" s="5">
        <v>46082.125</v>
      </c>
      <c r="B43" s="5">
        <v>46054.125</v>
      </c>
      <c r="C43" s="5">
        <v>46082.125</v>
      </c>
      <c r="D43">
        <v>176</v>
      </c>
      <c r="E43">
        <v>48091</v>
      </c>
      <c r="F43" t="s">
        <v>366</v>
      </c>
      <c r="G43" t="s">
        <v>288</v>
      </c>
      <c r="H43" t="s">
        <v>367</v>
      </c>
      <c r="I43" t="s">
        <v>290</v>
      </c>
      <c r="J43" s="6">
        <v>950.5</v>
      </c>
      <c r="K43" s="6">
        <v>1343.75</v>
      </c>
      <c r="L43" s="6">
        <v>0</v>
      </c>
      <c r="M43" s="6">
        <v>2294.25</v>
      </c>
      <c r="N43" s="6">
        <v>0</v>
      </c>
      <c r="O43" s="6">
        <v>0</v>
      </c>
      <c r="P43" s="6">
        <v>0</v>
      </c>
      <c r="Q43" s="6">
        <v>2294.25</v>
      </c>
      <c r="R43" s="6">
        <f>M43-N43-O43</f>
      </c>
      <c r="S43" s="6">
        <f>Q43</f>
      </c>
      <c r="T43" s="7">
        <v>46112.125</v>
      </c>
      <c r="U43" s="6">
        <f>M43-N43-O43-P43-Q43</f>
      </c>
      <c r="W43" s="8"/>
    </row>
    <row r="44" spans="1:23" x14ac:dyDescent="0.25">
      <c r="A44" s="5">
        <v>46082.125</v>
      </c>
      <c r="B44" s="5">
        <v>46054.125</v>
      </c>
      <c r="C44" s="5">
        <v>46082.125</v>
      </c>
      <c r="D44">
        <v>2008</v>
      </c>
      <c r="E44">
        <v>48092</v>
      </c>
      <c r="F44" t="s">
        <v>368</v>
      </c>
      <c r="G44" t="s">
        <v>288</v>
      </c>
      <c r="H44" t="s">
        <v>369</v>
      </c>
      <c r="I44" t="s">
        <v>315</v>
      </c>
      <c r="J44" s="6">
        <v>34</v>
      </c>
      <c r="K44" s="6">
        <v>0</v>
      </c>
      <c r="L44" s="6">
        <v>0</v>
      </c>
      <c r="M44" s="6">
        <v>34</v>
      </c>
      <c r="N44" s="6">
        <v>0</v>
      </c>
      <c r="O44" s="6">
        <v>0</v>
      </c>
      <c r="P44" s="6">
        <v>0</v>
      </c>
      <c r="Q44" s="6">
        <v>34</v>
      </c>
      <c r="R44" s="6">
        <f>M44-N44-O44</f>
      </c>
      <c r="S44" s="6">
        <f>Q44</f>
      </c>
      <c r="T44" s="7">
        <v>46112.125</v>
      </c>
      <c r="U44" s="6">
        <f>M44-N44-O44-P44-Q44</f>
      </c>
      <c r="W44" s="8"/>
    </row>
    <row r="45" spans="1:23" x14ac:dyDescent="0.25">
      <c r="A45" s="5">
        <v>46082.125</v>
      </c>
      <c r="B45" s="5">
        <v>46054.125</v>
      </c>
      <c r="C45" s="5">
        <v>46082.125</v>
      </c>
      <c r="D45">
        <v>2006</v>
      </c>
      <c r="E45">
        <v>48093</v>
      </c>
      <c r="F45" t="s">
        <v>370</v>
      </c>
      <c r="G45" t="s">
        <v>288</v>
      </c>
      <c r="H45" t="s">
        <v>371</v>
      </c>
      <c r="I45" t="s">
        <v>290</v>
      </c>
      <c r="J45" s="6">
        <v>1341.78</v>
      </c>
      <c r="K45" s="6">
        <v>0</v>
      </c>
      <c r="L45" s="6">
        <v>0</v>
      </c>
      <c r="M45" s="6">
        <v>1341.78</v>
      </c>
      <c r="N45" s="6">
        <v>0</v>
      </c>
      <c r="O45" s="6">
        <v>0</v>
      </c>
      <c r="P45" s="6">
        <v>0</v>
      </c>
      <c r="Q45" s="6">
        <v>1341.78</v>
      </c>
      <c r="R45" s="6">
        <f>M45-N45-O45</f>
      </c>
      <c r="S45" s="6">
        <f>Q45</f>
      </c>
      <c r="T45" s="7">
        <v>46112.125</v>
      </c>
      <c r="U45" s="6">
        <f>M45-N45-O45-P45-Q45</f>
      </c>
      <c r="W45" s="8"/>
    </row>
    <row r="46" spans="1:23" x14ac:dyDescent="0.25">
      <c r="A46" s="5">
        <v>46082.125</v>
      </c>
      <c r="B46" s="5">
        <v>46054.125</v>
      </c>
      <c r="C46" s="5">
        <v>46082.125</v>
      </c>
      <c r="D46">
        <v>879</v>
      </c>
      <c r="E46">
        <v>48094</v>
      </c>
      <c r="F46" t="s">
        <v>372</v>
      </c>
      <c r="G46" t="s">
        <v>288</v>
      </c>
      <c r="H46" t="s">
        <v>373</v>
      </c>
      <c r="I46" t="s">
        <v>290</v>
      </c>
      <c r="J46" s="6">
        <v>2093.77</v>
      </c>
      <c r="K46" s="6">
        <v>1162.33</v>
      </c>
      <c r="L46" s="6">
        <v>0</v>
      </c>
      <c r="M46" s="6">
        <v>3256.1</v>
      </c>
      <c r="N46" s="6">
        <v>0</v>
      </c>
      <c r="O46" s="6">
        <v>0</v>
      </c>
      <c r="P46" s="6">
        <v>0</v>
      </c>
      <c r="Q46" s="6">
        <v>3256.1</v>
      </c>
      <c r="R46" s="6">
        <f>M46-N46-O46</f>
      </c>
      <c r="S46" s="6">
        <f>Q46</f>
      </c>
      <c r="T46" s="7">
        <v>46112.125</v>
      </c>
      <c r="U46" s="6">
        <f>M46-N46-O46-P46-Q46</f>
      </c>
      <c r="W46" s="8"/>
    </row>
    <row r="47" spans="1:23" x14ac:dyDescent="0.25">
      <c r="A47" s="5">
        <v>46082.125</v>
      </c>
      <c r="B47" s="5">
        <v>46054.125</v>
      </c>
      <c r="C47" s="5">
        <v>46082.125</v>
      </c>
      <c r="D47">
        <v>731</v>
      </c>
      <c r="E47">
        <v>48096</v>
      </c>
      <c r="F47" t="s">
        <v>374</v>
      </c>
      <c r="G47" t="s">
        <v>288</v>
      </c>
      <c r="H47" t="s">
        <v>375</v>
      </c>
      <c r="I47" t="s">
        <v>376</v>
      </c>
      <c r="J47" s="6">
        <v>918.45</v>
      </c>
      <c r="K47" s="6">
        <v>996.98</v>
      </c>
      <c r="L47" s="6">
        <v>0</v>
      </c>
      <c r="M47" s="6">
        <v>1915.43</v>
      </c>
      <c r="N47" s="6">
        <v>0</v>
      </c>
      <c r="O47" s="6">
        <v>64.17</v>
      </c>
      <c r="P47" s="6">
        <v>0</v>
      </c>
      <c r="Q47" s="6">
        <v>1851.26</v>
      </c>
      <c r="R47" s="6">
        <f>M47-N47-O47</f>
      </c>
      <c r="S47" s="6">
        <f>Q47</f>
      </c>
      <c r="T47" s="7">
        <v>46112.125</v>
      </c>
      <c r="U47" s="6">
        <f>M47-N47-O47-P47-Q47</f>
      </c>
      <c r="W47" s="8"/>
    </row>
    <row r="48" spans="1:23" x14ac:dyDescent="0.25">
      <c r="A48" s="5">
        <v>46082.125</v>
      </c>
      <c r="B48" s="5">
        <v>46054.125</v>
      </c>
      <c r="C48" s="5">
        <v>46082.125</v>
      </c>
      <c r="D48">
        <v>743</v>
      </c>
      <c r="E48">
        <v>48097</v>
      </c>
      <c r="F48" t="s">
        <v>377</v>
      </c>
      <c r="G48" t="s">
        <v>288</v>
      </c>
      <c r="H48" t="s">
        <v>378</v>
      </c>
      <c r="I48" t="s">
        <v>290</v>
      </c>
      <c r="J48" s="6">
        <v>583.04</v>
      </c>
      <c r="K48" s="6">
        <v>339.81</v>
      </c>
      <c r="L48" s="6">
        <v>0</v>
      </c>
      <c r="M48" s="6">
        <v>922.85</v>
      </c>
      <c r="N48" s="6">
        <v>0</v>
      </c>
      <c r="O48" s="6">
        <v>0</v>
      </c>
      <c r="P48" s="6">
        <v>0</v>
      </c>
      <c r="Q48" s="6">
        <v>922.85</v>
      </c>
      <c r="R48" s="6">
        <f>M48-N48-O48</f>
      </c>
      <c r="S48" s="6">
        <f>Q48</f>
      </c>
      <c r="T48" s="7">
        <v>46112.125</v>
      </c>
      <c r="U48" s="6">
        <f>M48-N48-O48-P48-Q48</f>
      </c>
      <c r="W48" s="8"/>
    </row>
    <row r="49" spans="1:23" x14ac:dyDescent="0.25">
      <c r="A49" s="5">
        <v>46082.125</v>
      </c>
      <c r="B49" s="5">
        <v>46054.125</v>
      </c>
      <c r="C49" s="5">
        <v>46082.125</v>
      </c>
      <c r="D49">
        <v>759</v>
      </c>
      <c r="E49">
        <v>48098</v>
      </c>
      <c r="F49" t="s">
        <v>377</v>
      </c>
      <c r="G49" t="s">
        <v>288</v>
      </c>
      <c r="H49" t="s">
        <v>379</v>
      </c>
      <c r="I49" t="s">
        <v>290</v>
      </c>
      <c r="J49" s="6">
        <v>869.04</v>
      </c>
      <c r="K49" s="6">
        <v>30.6</v>
      </c>
      <c r="L49" s="6">
        <v>0</v>
      </c>
      <c r="M49" s="6">
        <v>899.64</v>
      </c>
      <c r="N49" s="6">
        <v>0</v>
      </c>
      <c r="O49" s="6">
        <v>0</v>
      </c>
      <c r="P49" s="6">
        <v>0</v>
      </c>
      <c r="Q49" s="6">
        <v>899.64</v>
      </c>
      <c r="R49" s="6">
        <f>M49-N49-O49</f>
      </c>
      <c r="S49" s="6">
        <f>Q49</f>
      </c>
      <c r="T49" s="7">
        <v>46112.125</v>
      </c>
      <c r="U49" s="6">
        <f>M49-N49-O49-P49-Q49</f>
      </c>
      <c r="W49" s="8"/>
    </row>
    <row r="50" spans="1:23" x14ac:dyDescent="0.25">
      <c r="A50" s="5">
        <v>46082.125</v>
      </c>
      <c r="B50" s="5">
        <v>46054.125</v>
      </c>
      <c r="C50" s="5">
        <v>46082.125</v>
      </c>
      <c r="D50">
        <v>149</v>
      </c>
      <c r="E50">
        <v>48101</v>
      </c>
      <c r="F50" t="s">
        <v>380</v>
      </c>
      <c r="G50" t="s">
        <v>288</v>
      </c>
      <c r="H50" t="s">
        <v>381</v>
      </c>
      <c r="I50" t="s">
        <v>382</v>
      </c>
      <c r="J50" s="6">
        <v>345</v>
      </c>
      <c r="K50" s="6">
        <v>105</v>
      </c>
      <c r="L50" s="6">
        <v>0</v>
      </c>
      <c r="M50" s="6">
        <v>450</v>
      </c>
      <c r="N50" s="6">
        <v>0</v>
      </c>
      <c r="O50" s="6">
        <v>14.67</v>
      </c>
      <c r="P50" s="6">
        <v>0</v>
      </c>
      <c r="Q50" s="6">
        <v>435.33</v>
      </c>
      <c r="R50" s="6">
        <f>M50-N50-O50</f>
      </c>
      <c r="S50" s="6">
        <f>Q50</f>
      </c>
      <c r="T50" s="7">
        <v>46112.125</v>
      </c>
      <c r="U50" s="6">
        <f>M50-N50-O50-P50-Q50</f>
      </c>
      <c r="W50" s="8"/>
    </row>
    <row r="51" spans="1:23" x14ac:dyDescent="0.25">
      <c r="A51" s="5">
        <v>46082.125</v>
      </c>
      <c r="B51" s="5">
        <v>46054.125</v>
      </c>
      <c r="C51" s="5">
        <v>46082.125</v>
      </c>
      <c r="D51">
        <v>667</v>
      </c>
      <c r="E51">
        <v>48102</v>
      </c>
      <c r="F51" t="s">
        <v>383</v>
      </c>
      <c r="G51" t="s">
        <v>288</v>
      </c>
      <c r="H51" t="s">
        <v>384</v>
      </c>
      <c r="I51" t="s">
        <v>315</v>
      </c>
      <c r="J51" s="6">
        <v>3109.71</v>
      </c>
      <c r="K51" s="6">
        <v>577.77</v>
      </c>
      <c r="L51" s="6">
        <v>0</v>
      </c>
      <c r="M51" s="6">
        <v>3687.48</v>
      </c>
      <c r="N51" s="6">
        <v>0</v>
      </c>
      <c r="O51" s="6">
        <v>0</v>
      </c>
      <c r="P51" s="6">
        <v>0</v>
      </c>
      <c r="Q51" s="6">
        <v>3687.48</v>
      </c>
      <c r="R51" s="6">
        <f>M51-N51-O51</f>
      </c>
      <c r="S51" s="6">
        <f>Q51</f>
      </c>
      <c r="T51" s="7">
        <v>46112.125</v>
      </c>
      <c r="U51" s="6">
        <f>M51-N51-O51-P51-Q51</f>
      </c>
      <c r="W51" s="8"/>
    </row>
    <row r="52" spans="1:23" x14ac:dyDescent="0.25">
      <c r="A52" s="5">
        <v>46082.125</v>
      </c>
      <c r="B52" s="5">
        <v>46054.125</v>
      </c>
      <c r="C52" s="5">
        <v>46082.125</v>
      </c>
      <c r="D52">
        <v>995</v>
      </c>
      <c r="E52">
        <v>48105</v>
      </c>
      <c r="F52" t="s">
        <v>385</v>
      </c>
      <c r="G52" t="s">
        <v>288</v>
      </c>
      <c r="H52" t="s">
        <v>386</v>
      </c>
      <c r="I52" t="s">
        <v>323</v>
      </c>
      <c r="J52" s="6">
        <v>1002.65</v>
      </c>
      <c r="K52" s="6">
        <v>1257.63</v>
      </c>
      <c r="L52" s="6">
        <v>0</v>
      </c>
      <c r="M52" s="6">
        <v>2260.28</v>
      </c>
      <c r="N52" s="6">
        <v>0</v>
      </c>
      <c r="O52" s="6">
        <v>49.05</v>
      </c>
      <c r="P52" s="6">
        <v>0</v>
      </c>
      <c r="Q52" s="6">
        <v>2211.23</v>
      </c>
      <c r="R52" s="6">
        <f>M52-N52-O52</f>
      </c>
      <c r="S52" s="6">
        <f>Q52</f>
      </c>
      <c r="T52" s="7">
        <v>46112.125</v>
      </c>
      <c r="U52" s="6">
        <f>M52-N52-O52-P52-Q52</f>
      </c>
      <c r="W52" s="8"/>
    </row>
    <row r="53" spans="1:23" x14ac:dyDescent="0.25">
      <c r="A53" s="5">
        <v>46082.125</v>
      </c>
      <c r="B53" s="5">
        <v>46054.125</v>
      </c>
      <c r="C53" s="5">
        <v>46082.125</v>
      </c>
      <c r="D53">
        <v>437</v>
      </c>
      <c r="E53">
        <v>48108</v>
      </c>
      <c r="F53" t="s">
        <v>387</v>
      </c>
      <c r="G53" t="s">
        <v>288</v>
      </c>
      <c r="H53" t="s">
        <v>388</v>
      </c>
      <c r="I53" t="s">
        <v>389</v>
      </c>
      <c r="J53" s="6">
        <v>2697.47</v>
      </c>
      <c r="K53" s="6">
        <v>2097.51</v>
      </c>
      <c r="L53" s="6">
        <v>0</v>
      </c>
      <c r="M53" s="6">
        <v>4794.98</v>
      </c>
      <c r="N53" s="6">
        <v>0</v>
      </c>
      <c r="O53" s="6">
        <v>130.9</v>
      </c>
      <c r="P53" s="6">
        <v>0</v>
      </c>
      <c r="Q53" s="6">
        <v>4664.08</v>
      </c>
      <c r="R53" s="6">
        <f>M53-N53-O53</f>
      </c>
      <c r="S53" s="6">
        <f>Q53</f>
      </c>
      <c r="T53" s="7">
        <v>46112.125</v>
      </c>
      <c r="U53" s="6">
        <f>M53-N53-O53-P53-Q53</f>
      </c>
      <c r="W53" s="8"/>
    </row>
    <row r="54" spans="1:23" x14ac:dyDescent="0.25">
      <c r="A54" s="5">
        <v>46082.125</v>
      </c>
      <c r="B54" s="5">
        <v>46054.125</v>
      </c>
      <c r="C54" s="5">
        <v>46082.125</v>
      </c>
      <c r="D54">
        <v>1012</v>
      </c>
      <c r="E54">
        <v>48110</v>
      </c>
      <c r="F54" t="s">
        <v>291</v>
      </c>
      <c r="G54" t="s">
        <v>288</v>
      </c>
      <c r="H54" t="s">
        <v>292</v>
      </c>
      <c r="I54" t="s">
        <v>290</v>
      </c>
      <c r="J54" s="6">
        <v>756.76</v>
      </c>
      <c r="K54" s="6">
        <v>596.27</v>
      </c>
      <c r="L54" s="6">
        <v>0</v>
      </c>
      <c r="M54" s="6">
        <v>1353.03</v>
      </c>
      <c r="N54" s="6">
        <v>0</v>
      </c>
      <c r="O54" s="6">
        <v>0</v>
      </c>
      <c r="P54" s="6">
        <v>0</v>
      </c>
      <c r="Q54" s="6">
        <v>1353.03</v>
      </c>
      <c r="R54" s="6">
        <f>M54-N54-O54</f>
      </c>
      <c r="S54" s="6">
        <f>Q54</f>
      </c>
      <c r="T54" s="7">
        <v>46112.125</v>
      </c>
      <c r="U54" s="6">
        <f>M54-N54-O54-P54-Q54</f>
      </c>
      <c r="W54" s="8"/>
    </row>
    <row r="55" spans="1:23" x14ac:dyDescent="0.25">
      <c r="A55" s="5">
        <v>46082.125</v>
      </c>
      <c r="B55" s="5">
        <v>46054.125</v>
      </c>
      <c r="C55" s="5">
        <v>46082.125</v>
      </c>
      <c r="D55">
        <v>464</v>
      </c>
      <c r="E55">
        <v>48111</v>
      </c>
      <c r="F55" t="s">
        <v>293</v>
      </c>
      <c r="G55" t="s">
        <v>288</v>
      </c>
      <c r="H55" t="s">
        <v>294</v>
      </c>
      <c r="I55" t="s">
        <v>295</v>
      </c>
      <c r="J55" s="6">
        <v>611.44</v>
      </c>
      <c r="K55" s="6">
        <v>390.59</v>
      </c>
      <c r="L55" s="6">
        <v>0</v>
      </c>
      <c r="M55" s="6">
        <v>1002.03</v>
      </c>
      <c r="N55" s="6">
        <v>0</v>
      </c>
      <c r="O55" s="6">
        <v>21.74</v>
      </c>
      <c r="P55" s="6">
        <v>0</v>
      </c>
      <c r="Q55" s="6">
        <v>980.29</v>
      </c>
      <c r="R55" s="6">
        <f>M55-N55-O55</f>
      </c>
      <c r="S55" s="6">
        <f>Q55</f>
      </c>
      <c r="T55" s="7">
        <v>46112.125</v>
      </c>
      <c r="U55" s="6">
        <f>M55-N55-O55-P55-Q55</f>
      </c>
      <c r="W55" s="8"/>
    </row>
    <row r="56" spans="1:23" x14ac:dyDescent="0.25">
      <c r="A56" s="5">
        <v>46082.125</v>
      </c>
      <c r="B56" s="5">
        <v>46054.125</v>
      </c>
      <c r="C56" s="5">
        <v>46082.125</v>
      </c>
      <c r="D56">
        <v>694</v>
      </c>
      <c r="E56">
        <v>48112</v>
      </c>
      <c r="F56" t="s">
        <v>390</v>
      </c>
      <c r="G56" t="s">
        <v>288</v>
      </c>
      <c r="H56" t="s">
        <v>391</v>
      </c>
      <c r="I56" t="s">
        <v>392</v>
      </c>
      <c r="J56" s="6">
        <v>568.18</v>
      </c>
      <c r="K56" s="6">
        <v>455.25</v>
      </c>
      <c r="L56" s="6">
        <v>0</v>
      </c>
      <c r="M56" s="6">
        <v>1023.43</v>
      </c>
      <c r="N56" s="6">
        <v>0</v>
      </c>
      <c r="O56" s="6">
        <v>20.57</v>
      </c>
      <c r="P56" s="6">
        <v>0</v>
      </c>
      <c r="Q56" s="6">
        <v>1002.86</v>
      </c>
      <c r="R56" s="6">
        <f>M56-N56-O56</f>
      </c>
      <c r="S56" s="6">
        <f>Q56</f>
      </c>
      <c r="T56" s="7">
        <v>46112.125</v>
      </c>
      <c r="U56" s="6">
        <f>M56-N56-O56-P56-Q56</f>
      </c>
      <c r="W56" s="8"/>
    </row>
    <row r="57" spans="1:23" x14ac:dyDescent="0.25">
      <c r="A57" s="5">
        <v>46082.125</v>
      </c>
      <c r="B57" s="5">
        <v>46054.125</v>
      </c>
      <c r="C57" s="5">
        <v>46082.125</v>
      </c>
      <c r="D57">
        <v>777</v>
      </c>
      <c r="E57">
        <v>48117</v>
      </c>
      <c r="F57" t="s">
        <v>393</v>
      </c>
      <c r="G57" t="s">
        <v>288</v>
      </c>
      <c r="H57" t="s">
        <v>394</v>
      </c>
      <c r="I57" t="s">
        <v>303</v>
      </c>
      <c r="J57" s="6">
        <v>675.05</v>
      </c>
      <c r="K57" s="6">
        <v>747.27</v>
      </c>
      <c r="L57" s="6">
        <v>0</v>
      </c>
      <c r="M57" s="6">
        <v>1422.32</v>
      </c>
      <c r="N57" s="6">
        <v>0</v>
      </c>
      <c r="O57" s="6">
        <v>30.86</v>
      </c>
      <c r="P57" s="6">
        <v>0</v>
      </c>
      <c r="Q57" s="6">
        <v>1391.46</v>
      </c>
      <c r="R57" s="6">
        <f>M57-N57-O57</f>
      </c>
      <c r="S57" s="6">
        <f>Q57</f>
      </c>
      <c r="T57" s="7">
        <v>46112.125</v>
      </c>
      <c r="U57" s="6">
        <f>M57-N57-O57-P57-Q57</f>
      </c>
      <c r="W57" s="8"/>
    </row>
    <row r="58" spans="1:23" x14ac:dyDescent="0.25">
      <c r="A58" s="5">
        <v>46082.125</v>
      </c>
      <c r="B58" s="5">
        <v>46054.125</v>
      </c>
      <c r="C58" s="5">
        <v>46082.125</v>
      </c>
      <c r="D58">
        <v>917</v>
      </c>
      <c r="E58">
        <v>48122</v>
      </c>
      <c r="F58" t="s">
        <v>395</v>
      </c>
      <c r="G58" t="s">
        <v>288</v>
      </c>
      <c r="H58" t="s">
        <v>396</v>
      </c>
      <c r="I58" t="s">
        <v>323</v>
      </c>
      <c r="J58" s="6">
        <v>532.86</v>
      </c>
      <c r="K58" s="6">
        <v>199.64</v>
      </c>
      <c r="L58" s="6">
        <v>0</v>
      </c>
      <c r="M58" s="6">
        <v>732.5</v>
      </c>
      <c r="N58" s="6">
        <v>0</v>
      </c>
      <c r="O58" s="6">
        <v>14.72</v>
      </c>
      <c r="P58" s="6">
        <v>0</v>
      </c>
      <c r="Q58" s="6">
        <v>717.78</v>
      </c>
      <c r="R58" s="6">
        <f>M58-N58-O58</f>
      </c>
      <c r="S58" s="6">
        <f>Q58</f>
      </c>
      <c r="T58" s="7">
        <v>46112.125</v>
      </c>
      <c r="U58" s="6">
        <f>M58-N58-O58-P58-Q58</f>
      </c>
      <c r="W58" s="8"/>
    </row>
    <row r="59" spans="1:23" x14ac:dyDescent="0.25">
      <c r="A59" s="5">
        <v>46082.125</v>
      </c>
      <c r="B59" s="5">
        <v>46054.125</v>
      </c>
      <c r="C59" s="5">
        <v>46082.125</v>
      </c>
      <c r="D59">
        <v>771</v>
      </c>
      <c r="E59">
        <v>48123</v>
      </c>
      <c r="F59" t="s">
        <v>397</v>
      </c>
      <c r="G59" t="s">
        <v>288</v>
      </c>
      <c r="H59" t="s">
        <v>398</v>
      </c>
      <c r="I59" t="s">
        <v>315</v>
      </c>
      <c r="J59" s="6">
        <v>79.3</v>
      </c>
      <c r="K59" s="6">
        <v>105.24</v>
      </c>
      <c r="L59" s="6">
        <v>0</v>
      </c>
      <c r="M59" s="6">
        <v>184.54</v>
      </c>
      <c r="N59" s="6">
        <v>0</v>
      </c>
      <c r="O59" s="6">
        <v>0</v>
      </c>
      <c r="P59" s="6">
        <v>0</v>
      </c>
      <c r="Q59" s="6">
        <v>184.54</v>
      </c>
      <c r="R59" s="6">
        <f>M59-N59-O59</f>
      </c>
      <c r="S59" s="6">
        <f>Q59</f>
      </c>
      <c r="T59" s="7">
        <v>46112.125</v>
      </c>
      <c r="U59" s="6">
        <f>M59-N59-O59-P59-Q59</f>
      </c>
      <c r="W59" s="8"/>
    </row>
    <row r="60" spans="1:23" x14ac:dyDescent="0.25">
      <c r="A60" s="5">
        <v>46082.125</v>
      </c>
      <c r="B60" s="5">
        <v>46054.125</v>
      </c>
      <c r="C60" s="5">
        <v>46082.125</v>
      </c>
      <c r="D60">
        <v>779</v>
      </c>
      <c r="E60">
        <v>48124</v>
      </c>
      <c r="F60" t="s">
        <v>399</v>
      </c>
      <c r="G60" t="s">
        <v>288</v>
      </c>
      <c r="H60" t="s">
        <v>400</v>
      </c>
      <c r="I60" t="s">
        <v>315</v>
      </c>
      <c r="J60" s="6">
        <v>2592.19</v>
      </c>
      <c r="K60" s="6">
        <v>92.27</v>
      </c>
      <c r="L60" s="6">
        <v>0</v>
      </c>
      <c r="M60" s="6">
        <v>2684.46</v>
      </c>
      <c r="N60" s="6">
        <v>0</v>
      </c>
      <c r="O60" s="6">
        <v>0</v>
      </c>
      <c r="P60" s="6">
        <v>0</v>
      </c>
      <c r="Q60" s="6">
        <v>2684.46</v>
      </c>
      <c r="R60" s="6">
        <f>M60-N60-O60</f>
      </c>
      <c r="S60" s="6">
        <f>Q60</f>
      </c>
      <c r="T60" s="7">
        <v>46112.125</v>
      </c>
      <c r="U60" s="6">
        <f>M60-N60-O60-P60-Q60</f>
      </c>
      <c r="W60" s="8"/>
    </row>
    <row r="61" spans="1:23" x14ac:dyDescent="0.25">
      <c r="A61" s="5">
        <v>46082.125</v>
      </c>
      <c r="B61" s="5">
        <v>46054.125</v>
      </c>
      <c r="C61" s="5">
        <v>46082.125</v>
      </c>
      <c r="D61">
        <v>926</v>
      </c>
      <c r="E61">
        <v>48125</v>
      </c>
      <c r="F61" t="s">
        <v>401</v>
      </c>
      <c r="G61" t="s">
        <v>288</v>
      </c>
      <c r="H61" t="s">
        <v>402</v>
      </c>
      <c r="I61" t="s">
        <v>290</v>
      </c>
      <c r="J61" s="6">
        <v>2715.55</v>
      </c>
      <c r="K61" s="6">
        <v>598.42</v>
      </c>
      <c r="L61" s="6">
        <v>0</v>
      </c>
      <c r="M61" s="6">
        <v>3313.97</v>
      </c>
      <c r="N61" s="6">
        <v>0</v>
      </c>
      <c r="O61" s="6">
        <v>0</v>
      </c>
      <c r="P61" s="6">
        <v>0</v>
      </c>
      <c r="Q61" s="6">
        <v>3313.97</v>
      </c>
      <c r="R61" s="6">
        <f>M61-N61-O61</f>
      </c>
      <c r="S61" s="6">
        <f>Q61</f>
      </c>
      <c r="T61" s="7">
        <v>46112.125</v>
      </c>
      <c r="U61" s="6">
        <f>M61-N61-O61-P61-Q61</f>
      </c>
      <c r="W61" s="8"/>
    </row>
    <row r="62" spans="1:23" x14ac:dyDescent="0.25">
      <c r="A62" s="5">
        <v>46082.125</v>
      </c>
      <c r="B62" s="5">
        <v>46054.125</v>
      </c>
      <c r="C62" s="5">
        <v>46082.125</v>
      </c>
      <c r="D62">
        <v>230</v>
      </c>
      <c r="E62">
        <v>48126</v>
      </c>
      <c r="F62" t="s">
        <v>403</v>
      </c>
      <c r="G62" t="s">
        <v>288</v>
      </c>
      <c r="H62" t="s">
        <v>404</v>
      </c>
      <c r="I62" t="s">
        <v>290</v>
      </c>
      <c r="J62" s="6">
        <v>77.43</v>
      </c>
      <c r="K62" s="6">
        <v>0</v>
      </c>
      <c r="L62" s="6">
        <v>0</v>
      </c>
      <c r="M62" s="6">
        <v>77.43</v>
      </c>
      <c r="N62" s="6">
        <v>0</v>
      </c>
      <c r="O62" s="6">
        <v>0</v>
      </c>
      <c r="P62" s="6">
        <v>0</v>
      </c>
      <c r="Q62" s="6">
        <v>77.43</v>
      </c>
      <c r="R62" s="6">
        <f>M62-N62-O62</f>
      </c>
      <c r="S62" s="6">
        <f>Q62</f>
      </c>
      <c r="T62" s="7">
        <v>46112.125</v>
      </c>
      <c r="U62" s="6">
        <f>M62-N62-O62-P62-Q62</f>
      </c>
      <c r="W62" s="8"/>
    </row>
    <row r="63" spans="1:23" x14ac:dyDescent="0.25">
      <c r="A63" s="5">
        <v>46082.125</v>
      </c>
      <c r="B63" s="5">
        <v>46054.125</v>
      </c>
      <c r="C63" s="5">
        <v>46082.125</v>
      </c>
      <c r="D63">
        <v>322</v>
      </c>
      <c r="E63">
        <v>48129</v>
      </c>
      <c r="F63" t="s">
        <v>405</v>
      </c>
      <c r="G63" t="s">
        <v>288</v>
      </c>
      <c r="H63" t="s">
        <v>406</v>
      </c>
      <c r="I63" t="s">
        <v>407</v>
      </c>
      <c r="J63" s="6">
        <v>777.82</v>
      </c>
      <c r="K63" s="6">
        <v>540.99</v>
      </c>
      <c r="L63" s="6">
        <v>0</v>
      </c>
      <c r="M63" s="6">
        <v>1318.81</v>
      </c>
      <c r="N63" s="6">
        <v>0</v>
      </c>
      <c r="O63" s="6">
        <v>39.56</v>
      </c>
      <c r="P63" s="6">
        <v>19.78</v>
      </c>
      <c r="Q63" s="6">
        <v>1198.15</v>
      </c>
      <c r="R63" s="6">
        <f>M63-N63-O63</f>
      </c>
      <c r="S63" s="6">
        <f>Q63</f>
      </c>
      <c r="T63" s="7">
        <v>46112.125</v>
      </c>
      <c r="U63" s="6">
        <f>M63-N63-O63-P63-Q63</f>
      </c>
      <c r="W63" s="8"/>
    </row>
    <row r="64" spans="1:23" x14ac:dyDescent="0.25">
      <c r="A64" s="5">
        <v>46082.125</v>
      </c>
      <c r="B64" s="5">
        <v>46054.125</v>
      </c>
      <c r="C64" s="5">
        <v>46082.125</v>
      </c>
      <c r="D64">
        <v>1003</v>
      </c>
      <c r="E64">
        <v>48131</v>
      </c>
      <c r="F64" t="s">
        <v>408</v>
      </c>
      <c r="G64" t="s">
        <v>288</v>
      </c>
      <c r="H64" t="s">
        <v>409</v>
      </c>
      <c r="I64" t="s">
        <v>290</v>
      </c>
      <c r="J64" s="6">
        <v>1021.16</v>
      </c>
      <c r="K64" s="6">
        <v>72.81</v>
      </c>
      <c r="L64" s="6">
        <v>0</v>
      </c>
      <c r="M64" s="6">
        <v>1093.97</v>
      </c>
      <c r="N64" s="6">
        <v>0</v>
      </c>
      <c r="O64" s="6">
        <v>0</v>
      </c>
      <c r="P64" s="6">
        <v>0</v>
      </c>
      <c r="Q64" s="6">
        <v>1093.97</v>
      </c>
      <c r="R64" s="6">
        <f>M64-N64-O64</f>
      </c>
      <c r="S64" s="6">
        <f>Q64</f>
      </c>
      <c r="T64" s="7">
        <v>46112.125</v>
      </c>
      <c r="U64" s="6">
        <f>M64-N64-O64-P64-Q64</f>
      </c>
      <c r="W64" s="8"/>
    </row>
    <row r="65" spans="1:23" x14ac:dyDescent="0.25">
      <c r="A65" s="5">
        <v>46082.125</v>
      </c>
      <c r="B65" s="5">
        <v>46054.125</v>
      </c>
      <c r="C65" s="5">
        <v>46082.125</v>
      </c>
      <c r="D65">
        <v>1049</v>
      </c>
      <c r="E65">
        <v>48132</v>
      </c>
      <c r="F65" t="s">
        <v>410</v>
      </c>
      <c r="G65" t="s">
        <v>288</v>
      </c>
      <c r="H65" t="s">
        <v>411</v>
      </c>
      <c r="I65" t="s">
        <v>290</v>
      </c>
      <c r="J65" s="6">
        <v>554</v>
      </c>
      <c r="K65" s="6">
        <v>277</v>
      </c>
      <c r="L65" s="6">
        <v>0</v>
      </c>
      <c r="M65" s="6">
        <v>831</v>
      </c>
      <c r="N65" s="6">
        <v>0</v>
      </c>
      <c r="O65" s="6">
        <v>0</v>
      </c>
      <c r="P65" s="6">
        <v>0</v>
      </c>
      <c r="Q65" s="6">
        <v>831</v>
      </c>
      <c r="R65" s="6">
        <f>M65-N65-O65</f>
      </c>
      <c r="S65" s="6">
        <f>Q65</f>
      </c>
      <c r="T65" s="7">
        <v>46112.125</v>
      </c>
      <c r="U65" s="6">
        <f>M65-N65-O65-P65-Q65</f>
      </c>
      <c r="W65" s="8"/>
    </row>
    <row r="66" spans="1:23" x14ac:dyDescent="0.25">
      <c r="A66" s="5">
        <v>46082.125</v>
      </c>
      <c r="B66" s="5">
        <v>46054.125</v>
      </c>
      <c r="C66" s="5">
        <v>46082.125</v>
      </c>
      <c r="D66">
        <v>136</v>
      </c>
      <c r="E66">
        <v>48139</v>
      </c>
      <c r="F66" t="s">
        <v>412</v>
      </c>
      <c r="G66" t="s">
        <v>288</v>
      </c>
      <c r="H66" t="s">
        <v>413</v>
      </c>
      <c r="I66" t="s">
        <v>414</v>
      </c>
      <c r="J66" s="6">
        <v>2702.95</v>
      </c>
      <c r="K66" s="6">
        <v>1672.55</v>
      </c>
      <c r="L66" s="6">
        <v>0</v>
      </c>
      <c r="M66" s="6">
        <v>4375.5</v>
      </c>
      <c r="N66" s="6">
        <v>0</v>
      </c>
      <c r="O66" s="6">
        <v>115.95</v>
      </c>
      <c r="P66" s="6">
        <v>0</v>
      </c>
      <c r="Q66" s="6">
        <v>4259.55</v>
      </c>
      <c r="R66" s="6">
        <f>M66-N66-O66</f>
      </c>
      <c r="S66" s="6">
        <f>Q66</f>
      </c>
      <c r="T66" s="7">
        <v>46112.125</v>
      </c>
      <c r="U66" s="6">
        <f>M66-N66-O66-P66-Q66</f>
      </c>
      <c r="W66" s="8"/>
    </row>
    <row r="67" spans="1:23" x14ac:dyDescent="0.25">
      <c r="A67" s="5">
        <v>46082.125</v>
      </c>
      <c r="B67" s="5">
        <v>46054.125</v>
      </c>
      <c r="C67" s="5">
        <v>46082.125</v>
      </c>
      <c r="D67">
        <v>952</v>
      </c>
      <c r="E67">
        <v>48140</v>
      </c>
      <c r="F67" t="s">
        <v>415</v>
      </c>
      <c r="G67" t="s">
        <v>288</v>
      </c>
      <c r="H67" t="s">
        <v>416</v>
      </c>
      <c r="I67" t="s">
        <v>290</v>
      </c>
      <c r="J67" s="6">
        <v>606.45</v>
      </c>
      <c r="K67" s="6">
        <v>92.27</v>
      </c>
      <c r="L67" s="6">
        <v>0</v>
      </c>
      <c r="M67" s="6">
        <v>698.72</v>
      </c>
      <c r="N67" s="6">
        <v>0</v>
      </c>
      <c r="O67" s="6">
        <v>0</v>
      </c>
      <c r="P67" s="6">
        <v>0</v>
      </c>
      <c r="Q67" s="6">
        <v>698.72</v>
      </c>
      <c r="R67" s="6">
        <f>M67-N67-O67</f>
      </c>
      <c r="S67" s="6">
        <f>Q67</f>
      </c>
      <c r="T67" s="7">
        <v>46112.125</v>
      </c>
      <c r="U67" s="6">
        <f>M67-N67-O67-P67-Q67</f>
      </c>
      <c r="W67" s="8"/>
    </row>
    <row r="68" spans="1:23" x14ac:dyDescent="0.25">
      <c r="A68" s="5">
        <v>46082.125</v>
      </c>
      <c r="B68" s="5">
        <v>46054.125</v>
      </c>
      <c r="C68" s="5">
        <v>46082.125</v>
      </c>
      <c r="D68">
        <v>15969</v>
      </c>
      <c r="E68">
        <v>48141</v>
      </c>
      <c r="F68" t="s">
        <v>417</v>
      </c>
      <c r="G68" t="s">
        <v>288</v>
      </c>
      <c r="H68" t="s">
        <v>418</v>
      </c>
      <c r="I68" t="s">
        <v>323</v>
      </c>
      <c r="J68" s="6">
        <v>1961.47</v>
      </c>
      <c r="K68" s="6">
        <v>345.61</v>
      </c>
      <c r="L68" s="6">
        <v>0</v>
      </c>
      <c r="M68" s="6">
        <v>2307.08</v>
      </c>
      <c r="N68" s="6">
        <v>0</v>
      </c>
      <c r="O68" s="6">
        <v>69.21</v>
      </c>
      <c r="P68" s="6">
        <v>0</v>
      </c>
      <c r="Q68" s="6">
        <v>2237.87</v>
      </c>
      <c r="R68" s="6">
        <f>M68-N68-O68</f>
      </c>
      <c r="S68" s="6">
        <f>Q68</f>
      </c>
      <c r="T68" s="7">
        <v>46112.125</v>
      </c>
      <c r="U68" s="6">
        <f>M68-N68-O68-P68-Q68</f>
      </c>
      <c r="W68" s="8"/>
    </row>
    <row r="69" spans="1:23" x14ac:dyDescent="0.25">
      <c r="A69" s="5">
        <v>46082.125</v>
      </c>
      <c r="B69" s="5">
        <v>46054.125</v>
      </c>
      <c r="C69" s="5">
        <v>46082.125</v>
      </c>
      <c r="D69">
        <v>2036</v>
      </c>
      <c r="E69">
        <v>48150</v>
      </c>
      <c r="F69" t="s">
        <v>419</v>
      </c>
      <c r="G69" t="s">
        <v>288</v>
      </c>
      <c r="H69" t="s">
        <v>420</v>
      </c>
      <c r="I69" t="s">
        <v>290</v>
      </c>
      <c r="J69" s="6">
        <v>1752.79</v>
      </c>
      <c r="K69" s="6">
        <v>428.26</v>
      </c>
      <c r="L69" s="6">
        <v>0</v>
      </c>
      <c r="M69" s="6">
        <v>2181.05</v>
      </c>
      <c r="N69" s="6">
        <v>0</v>
      </c>
      <c r="O69" s="6">
        <v>0</v>
      </c>
      <c r="P69" s="6">
        <v>0</v>
      </c>
      <c r="Q69" s="6">
        <v>2181.05</v>
      </c>
      <c r="R69" s="6">
        <f>M69-N69-O69</f>
      </c>
      <c r="S69" s="6">
        <f>Q69</f>
      </c>
      <c r="T69" s="7">
        <v>46112.125</v>
      </c>
      <c r="U69" s="6">
        <f>M69-N69-O69-P69-Q69</f>
      </c>
      <c r="W69" s="8"/>
    </row>
    <row r="70" spans="1:23" x14ac:dyDescent="0.25">
      <c r="A70" s="5">
        <v>46082.125</v>
      </c>
      <c r="B70" s="5">
        <v>46054.125</v>
      </c>
      <c r="C70" s="5">
        <v>46082.125</v>
      </c>
      <c r="D70">
        <v>979</v>
      </c>
      <c r="E70">
        <v>48151</v>
      </c>
      <c r="F70" t="s">
        <v>421</v>
      </c>
      <c r="G70" t="s">
        <v>288</v>
      </c>
      <c r="H70" t="s">
        <v>422</v>
      </c>
      <c r="I70" t="s">
        <v>290</v>
      </c>
      <c r="J70" s="6">
        <v>595.36</v>
      </c>
      <c r="K70" s="6">
        <v>310.19</v>
      </c>
      <c r="L70" s="6">
        <v>0</v>
      </c>
      <c r="M70" s="6">
        <v>905.55</v>
      </c>
      <c r="N70" s="6">
        <v>0</v>
      </c>
      <c r="O70" s="6">
        <v>0</v>
      </c>
      <c r="P70" s="6">
        <v>0</v>
      </c>
      <c r="Q70" s="6">
        <v>905.55</v>
      </c>
      <c r="R70" s="6">
        <f>M70-N70-O70</f>
      </c>
      <c r="S70" s="6">
        <f>Q70</f>
      </c>
      <c r="T70" s="7">
        <v>46112.125</v>
      </c>
      <c r="U70" s="6">
        <f>M70-N70-O70-P70-Q70</f>
      </c>
      <c r="W70" s="8"/>
    </row>
    <row r="71" spans="1:23" x14ac:dyDescent="0.25">
      <c r="A71" s="5">
        <v>46082.125</v>
      </c>
      <c r="B71" s="5">
        <v>46054.125</v>
      </c>
      <c r="C71" s="5">
        <v>46082.125</v>
      </c>
      <c r="D71">
        <v>1028</v>
      </c>
      <c r="E71">
        <v>48153</v>
      </c>
      <c r="F71" t="s">
        <v>423</v>
      </c>
      <c r="G71" t="s">
        <v>288</v>
      </c>
      <c r="H71" t="s">
        <v>424</v>
      </c>
      <c r="I71" t="s">
        <v>310</v>
      </c>
      <c r="J71" s="6">
        <v>1279.97</v>
      </c>
      <c r="K71" s="6">
        <v>1182.36</v>
      </c>
      <c r="L71" s="6">
        <v>0</v>
      </c>
      <c r="M71" s="6">
        <v>2462.33</v>
      </c>
      <c r="N71" s="6">
        <v>0</v>
      </c>
      <c r="O71" s="6">
        <v>49.49</v>
      </c>
      <c r="P71" s="6">
        <v>0</v>
      </c>
      <c r="Q71" s="6">
        <v>2412.84</v>
      </c>
      <c r="R71" s="6">
        <f>M71-N71-O71</f>
      </c>
      <c r="S71" s="6">
        <f>Q71</f>
      </c>
      <c r="T71" s="7">
        <v>46112.125</v>
      </c>
      <c r="U71" s="6">
        <f>M71-N71-O71-P71-Q71</f>
      </c>
      <c r="W71" s="8"/>
    </row>
    <row r="72" spans="1:23" x14ac:dyDescent="0.25">
      <c r="A72" s="5">
        <v>46082.125</v>
      </c>
      <c r="B72" s="5">
        <v>46054.125</v>
      </c>
      <c r="C72" s="5">
        <v>46082.125</v>
      </c>
      <c r="D72">
        <v>1001</v>
      </c>
      <c r="E72">
        <v>48155</v>
      </c>
      <c r="F72" t="s">
        <v>425</v>
      </c>
      <c r="G72" t="s">
        <v>288</v>
      </c>
      <c r="H72" t="s">
        <v>426</v>
      </c>
      <c r="I72" t="s">
        <v>323</v>
      </c>
      <c r="J72" s="6">
        <v>1591.03</v>
      </c>
      <c r="K72" s="6">
        <v>1363.66</v>
      </c>
      <c r="L72" s="6">
        <v>0</v>
      </c>
      <c r="M72" s="6">
        <v>2954.69</v>
      </c>
      <c r="N72" s="6">
        <v>0</v>
      </c>
      <c r="O72" s="6">
        <v>64.12</v>
      </c>
      <c r="P72" s="6">
        <v>0</v>
      </c>
      <c r="Q72" s="6">
        <v>2890.57</v>
      </c>
      <c r="R72" s="6">
        <f>M72-N72-O72</f>
      </c>
      <c r="S72" s="6">
        <f>Q72</f>
      </c>
      <c r="T72" s="7">
        <v>46112.125</v>
      </c>
      <c r="U72" s="6">
        <f>M72-N72-O72-P72-Q72</f>
      </c>
      <c r="W72" s="8"/>
    </row>
    <row r="73" spans="1:23" x14ac:dyDescent="0.25">
      <c r="A73" s="5">
        <v>46082.125</v>
      </c>
      <c r="B73" s="5">
        <v>46054.125</v>
      </c>
      <c r="C73" s="5">
        <v>46082.125</v>
      </c>
      <c r="D73">
        <v>835</v>
      </c>
      <c r="E73">
        <v>48157</v>
      </c>
      <c r="F73" t="s">
        <v>427</v>
      </c>
      <c r="G73" t="s">
        <v>288</v>
      </c>
      <c r="H73" t="s">
        <v>428</v>
      </c>
      <c r="I73" t="s">
        <v>290</v>
      </c>
      <c r="J73" s="6">
        <v>936.16</v>
      </c>
      <c r="K73" s="6">
        <v>325.18</v>
      </c>
      <c r="L73" s="6">
        <v>0</v>
      </c>
      <c r="M73" s="6">
        <v>1261.34</v>
      </c>
      <c r="N73" s="6">
        <v>0</v>
      </c>
      <c r="O73" s="6">
        <v>0</v>
      </c>
      <c r="P73" s="6">
        <v>0</v>
      </c>
      <c r="Q73" s="6">
        <v>1261.34</v>
      </c>
      <c r="R73" s="6">
        <f>M73-N73-O73</f>
      </c>
      <c r="S73" s="6">
        <f>Q73</f>
      </c>
      <c r="T73" s="7">
        <v>46112.125</v>
      </c>
      <c r="U73" s="6">
        <f>M73-N73-O73-P73-Q73</f>
      </c>
      <c r="W73" s="8"/>
    </row>
    <row r="74" spans="1:23" x14ac:dyDescent="0.25">
      <c r="A74" s="5">
        <v>46082.125</v>
      </c>
      <c r="B74" s="5">
        <v>46054.125</v>
      </c>
      <c r="C74" s="5">
        <v>46082.125</v>
      </c>
      <c r="D74">
        <v>1060</v>
      </c>
      <c r="E74">
        <v>48159</v>
      </c>
      <c r="F74" t="s">
        <v>429</v>
      </c>
      <c r="G74" t="s">
        <v>288</v>
      </c>
      <c r="H74" t="s">
        <v>430</v>
      </c>
      <c r="I74" t="s">
        <v>323</v>
      </c>
      <c r="J74" s="6">
        <v>545.13</v>
      </c>
      <c r="K74" s="6">
        <v>308.77</v>
      </c>
      <c r="L74" s="6">
        <v>0</v>
      </c>
      <c r="M74" s="6">
        <v>853.9</v>
      </c>
      <c r="N74" s="6">
        <v>0</v>
      </c>
      <c r="O74" s="6">
        <v>18.53</v>
      </c>
      <c r="P74" s="6">
        <v>0</v>
      </c>
      <c r="Q74" s="6">
        <v>835.37</v>
      </c>
      <c r="R74" s="6">
        <f>M74-N74-O74</f>
      </c>
      <c r="S74" s="6">
        <f>Q74</f>
      </c>
      <c r="T74" s="7">
        <v>46112.125</v>
      </c>
      <c r="U74" s="6">
        <f>M74-N74-O74-P74-Q74</f>
      </c>
      <c r="W74" s="8"/>
    </row>
    <row r="75" spans="1:23" x14ac:dyDescent="0.25">
      <c r="A75" s="5">
        <v>46082.125</v>
      </c>
      <c r="B75" s="5">
        <v>46054.125</v>
      </c>
      <c r="C75" s="5">
        <v>46082.125</v>
      </c>
      <c r="D75">
        <v>2080</v>
      </c>
      <c r="E75">
        <v>48163</v>
      </c>
      <c r="F75" t="s">
        <v>431</v>
      </c>
      <c r="G75" t="s">
        <v>288</v>
      </c>
      <c r="H75" t="s">
        <v>432</v>
      </c>
      <c r="I75" t="s">
        <v>290</v>
      </c>
      <c r="J75" s="6">
        <v>2964.68</v>
      </c>
      <c r="K75" s="6">
        <v>498.89</v>
      </c>
      <c r="L75" s="6">
        <v>0</v>
      </c>
      <c r="M75" s="6">
        <v>3463.57</v>
      </c>
      <c r="N75" s="6">
        <v>0</v>
      </c>
      <c r="O75" s="6">
        <v>0</v>
      </c>
      <c r="P75" s="6">
        <v>0</v>
      </c>
      <c r="Q75" s="6">
        <v>3463.57</v>
      </c>
      <c r="R75" s="6">
        <f>M75-N75-O75</f>
      </c>
      <c r="S75" s="6">
        <f>Q75</f>
      </c>
      <c r="T75" s="7">
        <v>46112.125</v>
      </c>
      <c r="U75" s="6">
        <f>M75-N75-O75-P75-Q75</f>
      </c>
      <c r="W75" s="8"/>
    </row>
    <row r="76" spans="1:23" x14ac:dyDescent="0.25">
      <c r="A76" s="5">
        <v>46082.125</v>
      </c>
      <c r="B76" s="5">
        <v>46054.125</v>
      </c>
      <c r="C76" s="5">
        <v>46082.125</v>
      </c>
      <c r="D76">
        <v>367</v>
      </c>
      <c r="E76">
        <v>48166</v>
      </c>
      <c r="F76" t="s">
        <v>433</v>
      </c>
      <c r="G76" t="s">
        <v>288</v>
      </c>
      <c r="H76" t="s">
        <v>434</v>
      </c>
      <c r="I76" t="s">
        <v>290</v>
      </c>
      <c r="J76" s="6">
        <v>4189.98</v>
      </c>
      <c r="K76" s="6">
        <v>60</v>
      </c>
      <c r="L76" s="6">
        <v>0</v>
      </c>
      <c r="M76" s="6">
        <v>4249.98</v>
      </c>
      <c r="N76" s="6">
        <v>0</v>
      </c>
      <c r="O76" s="6">
        <v>0</v>
      </c>
      <c r="P76" s="6">
        <v>0</v>
      </c>
      <c r="Q76" s="6">
        <v>4249.98</v>
      </c>
      <c r="R76" s="6">
        <f>M76-N76-O76</f>
      </c>
      <c r="S76" s="6">
        <f>Q76</f>
      </c>
      <c r="T76" s="7">
        <v>46112.125</v>
      </c>
      <c r="U76" s="6">
        <f>M76-N76-O76-P76-Q76</f>
      </c>
      <c r="W76" s="8"/>
    </row>
    <row r="77" spans="1:23" x14ac:dyDescent="0.25">
      <c r="A77" s="5">
        <v>46082.125</v>
      </c>
      <c r="B77" s="5">
        <v>46054.125</v>
      </c>
      <c r="C77" s="5">
        <v>46082.125</v>
      </c>
      <c r="D77">
        <v>1079</v>
      </c>
      <c r="E77">
        <v>48169</v>
      </c>
      <c r="F77" t="s">
        <v>435</v>
      </c>
      <c r="G77" t="s">
        <v>288</v>
      </c>
      <c r="H77" t="s">
        <v>436</v>
      </c>
      <c r="I77" t="s">
        <v>290</v>
      </c>
      <c r="J77" s="6">
        <v>1612.82</v>
      </c>
      <c r="K77" s="6">
        <v>0</v>
      </c>
      <c r="L77" s="6">
        <v>0</v>
      </c>
      <c r="M77" s="6">
        <v>1612.82</v>
      </c>
      <c r="N77" s="6">
        <v>0</v>
      </c>
      <c r="O77" s="6">
        <v>0</v>
      </c>
      <c r="P77" s="6">
        <v>0</v>
      </c>
      <c r="Q77" s="6">
        <v>1612.82</v>
      </c>
      <c r="R77" s="6">
        <f>M77-N77-O77</f>
      </c>
      <c r="S77" s="6">
        <f>Q77</f>
      </c>
      <c r="T77" s="7">
        <v>46112.125</v>
      </c>
      <c r="U77" s="6">
        <f>M77-N77-O77-P77-Q77</f>
      </c>
      <c r="W77" s="8"/>
    </row>
    <row r="78" spans="1:23" x14ac:dyDescent="0.25">
      <c r="A78" s="5">
        <v>46082.125</v>
      </c>
      <c r="B78" s="5">
        <v>46054.125</v>
      </c>
      <c r="C78" s="5">
        <v>46082.125</v>
      </c>
      <c r="D78">
        <v>1006</v>
      </c>
      <c r="E78">
        <v>48172</v>
      </c>
      <c r="F78" t="s">
        <v>437</v>
      </c>
      <c r="G78" t="s">
        <v>288</v>
      </c>
      <c r="H78" t="s">
        <v>438</v>
      </c>
      <c r="I78" t="s">
        <v>290</v>
      </c>
      <c r="J78" s="6">
        <v>2019.25</v>
      </c>
      <c r="K78" s="6">
        <v>19</v>
      </c>
      <c r="L78" s="6">
        <v>0</v>
      </c>
      <c r="M78" s="6">
        <v>2038.25</v>
      </c>
      <c r="N78" s="6">
        <v>0</v>
      </c>
      <c r="O78" s="6">
        <v>0</v>
      </c>
      <c r="P78" s="6">
        <v>0</v>
      </c>
      <c r="Q78" s="6">
        <v>2038.25</v>
      </c>
      <c r="R78" s="6">
        <f>M78-N78-O78</f>
      </c>
      <c r="S78" s="6">
        <f>Q78</f>
      </c>
      <c r="T78" s="7">
        <v>46112.125</v>
      </c>
      <c r="U78" s="6">
        <f>M78-N78-O78-P78-Q78</f>
      </c>
      <c r="W78" s="8"/>
    </row>
    <row r="79" spans="1:23" x14ac:dyDescent="0.25">
      <c r="A79" s="5">
        <v>46082.125</v>
      </c>
      <c r="B79" s="5">
        <v>46054.125</v>
      </c>
      <c r="C79" s="5">
        <v>46082.125</v>
      </c>
      <c r="D79">
        <v>1070</v>
      </c>
      <c r="E79">
        <v>48174</v>
      </c>
      <c r="F79" t="s">
        <v>439</v>
      </c>
      <c r="G79" t="s">
        <v>288</v>
      </c>
      <c r="H79" t="s">
        <v>440</v>
      </c>
      <c r="I79" t="s">
        <v>290</v>
      </c>
      <c r="J79" s="6">
        <v>1317</v>
      </c>
      <c r="K79" s="6">
        <v>660</v>
      </c>
      <c r="L79" s="6">
        <v>0</v>
      </c>
      <c r="M79" s="6">
        <v>1977</v>
      </c>
      <c r="N79" s="6">
        <v>0</v>
      </c>
      <c r="O79" s="6">
        <v>0</v>
      </c>
      <c r="P79" s="6">
        <v>0</v>
      </c>
      <c r="Q79" s="6">
        <v>1977</v>
      </c>
      <c r="R79" s="6">
        <f>M79-N79-O79</f>
      </c>
      <c r="S79" s="6">
        <f>Q79</f>
      </c>
      <c r="T79" s="7">
        <v>46112.125</v>
      </c>
      <c r="U79" s="6">
        <f>M79-N79-O79-P79-Q79</f>
      </c>
      <c r="W79" s="8"/>
    </row>
    <row r="80" spans="1:23" x14ac:dyDescent="0.25">
      <c r="A80" s="5">
        <v>46082.125</v>
      </c>
      <c r="B80" s="5">
        <v>46054.125</v>
      </c>
      <c r="C80" s="5">
        <v>46082.125</v>
      </c>
      <c r="D80">
        <v>845</v>
      </c>
      <c r="E80">
        <v>48175</v>
      </c>
      <c r="F80" t="s">
        <v>441</v>
      </c>
      <c r="G80" t="s">
        <v>288</v>
      </c>
      <c r="H80" t="s">
        <v>442</v>
      </c>
      <c r="I80" t="s">
        <v>290</v>
      </c>
      <c r="J80" s="6">
        <v>2640</v>
      </c>
      <c r="K80" s="6">
        <v>704</v>
      </c>
      <c r="L80" s="6">
        <v>0</v>
      </c>
      <c r="M80" s="6">
        <v>3344</v>
      </c>
      <c r="N80" s="6">
        <v>0</v>
      </c>
      <c r="O80" s="6">
        <v>0</v>
      </c>
      <c r="P80" s="6">
        <v>0</v>
      </c>
      <c r="Q80" s="6">
        <v>3344</v>
      </c>
      <c r="R80" s="6">
        <f>M80-N80-O80</f>
      </c>
      <c r="S80" s="6">
        <f>Q80</f>
      </c>
      <c r="T80" s="7">
        <v>46112.125</v>
      </c>
      <c r="U80" s="6">
        <f>M80-N80-O80-P80-Q80</f>
      </c>
      <c r="W80" s="8"/>
    </row>
    <row r="81" spans="1:23" x14ac:dyDescent="0.25">
      <c r="A81" s="5">
        <v>46082.125</v>
      </c>
      <c r="B81" s="5">
        <v>46054.125</v>
      </c>
      <c r="C81" s="5">
        <v>46082.125</v>
      </c>
      <c r="D81">
        <v>444</v>
      </c>
      <c r="E81">
        <v>48176</v>
      </c>
      <c r="F81" t="s">
        <v>443</v>
      </c>
      <c r="G81" t="s">
        <v>288</v>
      </c>
      <c r="H81" t="s">
        <v>444</v>
      </c>
      <c r="I81" t="s">
        <v>445</v>
      </c>
      <c r="J81" s="6">
        <v>1332.68</v>
      </c>
      <c r="K81" s="6">
        <v>1299.94</v>
      </c>
      <c r="L81" s="6">
        <v>0</v>
      </c>
      <c r="M81" s="6">
        <v>2632.62</v>
      </c>
      <c r="N81" s="6">
        <v>0</v>
      </c>
      <c r="O81" s="6">
        <v>100.04</v>
      </c>
      <c r="P81" s="6">
        <v>0</v>
      </c>
      <c r="Q81" s="6">
        <v>2532.58</v>
      </c>
      <c r="R81" s="6">
        <f>M81-N81-O81</f>
      </c>
      <c r="S81" s="6">
        <f>Q81</f>
      </c>
      <c r="T81" s="7">
        <v>46112.125</v>
      </c>
      <c r="U81" s="6">
        <f>M81-N81-O81-P81-Q81</f>
      </c>
      <c r="W81" s="8"/>
    </row>
    <row r="82" spans="1:23" x14ac:dyDescent="0.25">
      <c r="A82" s="5">
        <v>46082.125</v>
      </c>
      <c r="B82" s="5">
        <v>46054.125</v>
      </c>
      <c r="C82" s="5">
        <v>46082.125</v>
      </c>
      <c r="D82">
        <v>1033</v>
      </c>
      <c r="E82">
        <v>48177</v>
      </c>
      <c r="F82" t="s">
        <v>446</v>
      </c>
      <c r="G82" t="s">
        <v>288</v>
      </c>
      <c r="H82" t="s">
        <v>447</v>
      </c>
      <c r="I82" t="s">
        <v>290</v>
      </c>
      <c r="J82" s="6">
        <v>660.55</v>
      </c>
      <c r="K82" s="6">
        <v>172.2</v>
      </c>
      <c r="L82" s="6">
        <v>0</v>
      </c>
      <c r="M82" s="6">
        <v>832.75</v>
      </c>
      <c r="N82" s="6">
        <v>0</v>
      </c>
      <c r="O82" s="6">
        <v>0</v>
      </c>
      <c r="P82" s="6">
        <v>0</v>
      </c>
      <c r="Q82" s="6">
        <v>832.75</v>
      </c>
      <c r="R82" s="6">
        <f>M82-N82-O82</f>
      </c>
      <c r="S82" s="6">
        <f>Q82</f>
      </c>
      <c r="T82" s="7">
        <v>46112.125</v>
      </c>
      <c r="U82" s="6">
        <f>M82-N82-O82-P82-Q82</f>
      </c>
      <c r="W82" s="8"/>
    </row>
    <row r="83" spans="1:23" x14ac:dyDescent="0.25">
      <c r="A83" s="5">
        <v>46082.125</v>
      </c>
      <c r="B83" s="5">
        <v>46054.125</v>
      </c>
      <c r="C83" s="5">
        <v>46082.125</v>
      </c>
      <c r="D83">
        <v>493</v>
      </c>
      <c r="E83">
        <v>48178</v>
      </c>
      <c r="F83" t="s">
        <v>304</v>
      </c>
      <c r="G83" t="s">
        <v>288</v>
      </c>
      <c r="H83" t="s">
        <v>305</v>
      </c>
      <c r="I83" t="s">
        <v>290</v>
      </c>
      <c r="J83" s="6">
        <v>1044.38</v>
      </c>
      <c r="K83" s="6">
        <v>455.27</v>
      </c>
      <c r="L83" s="6">
        <v>0</v>
      </c>
      <c r="M83" s="6">
        <v>1499.65</v>
      </c>
      <c r="N83" s="6">
        <v>0</v>
      </c>
      <c r="O83" s="6">
        <v>0</v>
      </c>
      <c r="P83" s="6">
        <v>0</v>
      </c>
      <c r="Q83" s="6">
        <v>1499.65</v>
      </c>
      <c r="R83" s="6">
        <f>M83-N83-O83</f>
      </c>
      <c r="S83" s="6">
        <f>Q83</f>
      </c>
      <c r="T83" s="7">
        <v>46112.125</v>
      </c>
      <c r="U83" s="6">
        <f>M83-N83-O83-P83-Q83</f>
      </c>
      <c r="W83" s="8"/>
    </row>
    <row r="84" spans="1:23" x14ac:dyDescent="0.25">
      <c r="A84" s="5">
        <v>46082.125</v>
      </c>
      <c r="B84" s="5">
        <v>46054.125</v>
      </c>
      <c r="C84" s="5">
        <v>46082.125</v>
      </c>
      <c r="D84">
        <v>82788</v>
      </c>
      <c r="E84">
        <v>48181</v>
      </c>
      <c r="F84" t="s">
        <v>448</v>
      </c>
      <c r="G84" t="s">
        <v>288</v>
      </c>
      <c r="H84" t="s">
        <v>449</v>
      </c>
      <c r="I84" t="s">
        <v>290</v>
      </c>
      <c r="J84" s="6">
        <v>939.7</v>
      </c>
      <c r="K84" s="6">
        <v>0</v>
      </c>
      <c r="L84" s="6">
        <v>0</v>
      </c>
      <c r="M84" s="6">
        <v>939.7</v>
      </c>
      <c r="N84" s="6">
        <v>0</v>
      </c>
      <c r="O84" s="6">
        <v>0</v>
      </c>
      <c r="P84" s="6">
        <v>0</v>
      </c>
      <c r="Q84" s="6">
        <v>939.7</v>
      </c>
      <c r="R84" s="6">
        <f>M84-N84-O84</f>
      </c>
      <c r="S84" s="6">
        <f>Q84</f>
      </c>
      <c r="T84" s="7">
        <v>46112.125</v>
      </c>
      <c r="U84" s="6">
        <f>M84-N84-O84-P84-Q84</f>
      </c>
      <c r="W84" s="8"/>
    </row>
    <row r="85" spans="1:23" x14ac:dyDescent="0.25">
      <c r="A85" s="5">
        <v>46082.125</v>
      </c>
      <c r="B85" s="5">
        <v>46054.125</v>
      </c>
      <c r="C85" s="5">
        <v>46082.125</v>
      </c>
      <c r="D85">
        <v>991</v>
      </c>
      <c r="E85">
        <v>48185</v>
      </c>
      <c r="F85" t="s">
        <v>450</v>
      </c>
      <c r="G85" t="s">
        <v>288</v>
      </c>
      <c r="H85" t="s">
        <v>451</v>
      </c>
      <c r="I85" t="s">
        <v>290</v>
      </c>
      <c r="J85" s="6">
        <v>1672.44</v>
      </c>
      <c r="K85" s="6">
        <v>388.22</v>
      </c>
      <c r="L85" s="6">
        <v>0</v>
      </c>
      <c r="M85" s="6">
        <v>2060.66</v>
      </c>
      <c r="N85" s="6">
        <v>0</v>
      </c>
      <c r="O85" s="6">
        <v>0</v>
      </c>
      <c r="P85" s="6">
        <v>0</v>
      </c>
      <c r="Q85" s="6">
        <v>2060.66</v>
      </c>
      <c r="R85" s="6">
        <f>M85-N85-O85</f>
      </c>
      <c r="S85" s="6">
        <f>Q85</f>
      </c>
      <c r="T85" s="7">
        <v>46112.125</v>
      </c>
      <c r="U85" s="6">
        <f>M85-N85-O85-P85-Q85</f>
      </c>
      <c r="W85" s="8"/>
    </row>
    <row r="86" spans="1:23" x14ac:dyDescent="0.25">
      <c r="A86" s="5">
        <v>46082.125</v>
      </c>
      <c r="B86" s="5">
        <v>46054.125</v>
      </c>
      <c r="C86" s="5">
        <v>46082.125</v>
      </c>
      <c r="D86">
        <v>654</v>
      </c>
      <c r="E86">
        <v>48187</v>
      </c>
      <c r="F86" t="s">
        <v>452</v>
      </c>
      <c r="G86" t="s">
        <v>288</v>
      </c>
      <c r="H86" t="s">
        <v>453</v>
      </c>
      <c r="I86" t="s">
        <v>454</v>
      </c>
      <c r="J86" s="6">
        <v>2603.52</v>
      </c>
      <c r="K86" s="6">
        <v>534.32</v>
      </c>
      <c r="L86" s="6">
        <v>0</v>
      </c>
      <c r="M86" s="6">
        <v>3137.84</v>
      </c>
      <c r="N86" s="6">
        <v>0</v>
      </c>
      <c r="O86" s="6">
        <v>0</v>
      </c>
      <c r="P86" s="6">
        <v>47.07</v>
      </c>
      <c r="Q86" s="6">
        <v>2944.85</v>
      </c>
      <c r="R86" s="6">
        <f>M86-N86-O86</f>
      </c>
      <c r="S86" s="6">
        <f>Q86</f>
      </c>
      <c r="T86" s="7">
        <v>46112.125</v>
      </c>
      <c r="U86" s="6">
        <f>M86-N86-O86-P86-Q86</f>
      </c>
      <c r="W86" s="8"/>
    </row>
    <row r="87" spans="1:23" x14ac:dyDescent="0.25">
      <c r="A87" s="5">
        <v>46082.125</v>
      </c>
      <c r="B87" s="5">
        <v>46054.125</v>
      </c>
      <c r="C87" s="5">
        <v>46082.125</v>
      </c>
      <c r="D87">
        <v>1029</v>
      </c>
      <c r="E87">
        <v>48188</v>
      </c>
      <c r="F87" t="s">
        <v>455</v>
      </c>
      <c r="G87" t="s">
        <v>288</v>
      </c>
      <c r="H87" t="s">
        <v>456</v>
      </c>
      <c r="I87" t="s">
        <v>290</v>
      </c>
      <c r="J87" s="6">
        <v>2112.13</v>
      </c>
      <c r="K87" s="6">
        <v>428.74</v>
      </c>
      <c r="L87" s="6">
        <v>0</v>
      </c>
      <c r="M87" s="6">
        <v>2540.87</v>
      </c>
      <c r="N87" s="6">
        <v>0</v>
      </c>
      <c r="O87" s="6">
        <v>0</v>
      </c>
      <c r="P87" s="6">
        <v>0</v>
      </c>
      <c r="Q87" s="6">
        <v>2540.87</v>
      </c>
      <c r="R87" s="6">
        <f>M87-N87-O87</f>
      </c>
      <c r="S87" s="6">
        <f>Q87</f>
      </c>
      <c r="T87" s="7">
        <v>46112.125</v>
      </c>
      <c r="U87" s="6">
        <f>M87-N87-O87-P87-Q87</f>
      </c>
      <c r="W87" s="8"/>
    </row>
    <row r="88" spans="1:23" x14ac:dyDescent="0.25">
      <c r="A88" s="5">
        <v>46082.125</v>
      </c>
      <c r="B88" s="5">
        <v>46054.125</v>
      </c>
      <c r="C88" s="5">
        <v>46082.125</v>
      </c>
      <c r="D88">
        <v>908</v>
      </c>
      <c r="E88">
        <v>48189</v>
      </c>
      <c r="F88" t="s">
        <v>457</v>
      </c>
      <c r="G88" t="s">
        <v>288</v>
      </c>
      <c r="H88" t="s">
        <v>458</v>
      </c>
      <c r="I88" t="s">
        <v>459</v>
      </c>
      <c r="J88" s="6">
        <v>570.4</v>
      </c>
      <c r="K88" s="6">
        <v>302.79</v>
      </c>
      <c r="L88" s="6">
        <v>0</v>
      </c>
      <c r="M88" s="6">
        <v>873.19</v>
      </c>
      <c r="N88" s="6">
        <v>0</v>
      </c>
      <c r="O88" s="6">
        <v>26.19</v>
      </c>
      <c r="P88" s="6">
        <v>13.1</v>
      </c>
      <c r="Q88" s="6">
        <v>793.29</v>
      </c>
      <c r="R88" s="6">
        <f>M88-N88-O88</f>
      </c>
      <c r="S88" s="6">
        <f>Q88</f>
      </c>
      <c r="T88" s="7">
        <v>46112.125</v>
      </c>
      <c r="U88" s="6">
        <f>M88-N88-O88-P88-Q88</f>
      </c>
      <c r="W88" s="8"/>
    </row>
    <row r="89" spans="1:23" x14ac:dyDescent="0.25">
      <c r="A89" s="5">
        <v>46082.125</v>
      </c>
      <c r="B89" s="5">
        <v>46054.125</v>
      </c>
      <c r="C89" s="5">
        <v>46082.125</v>
      </c>
      <c r="D89">
        <v>977</v>
      </c>
      <c r="E89">
        <v>48190</v>
      </c>
      <c r="F89" t="s">
        <v>460</v>
      </c>
      <c r="G89" t="s">
        <v>288</v>
      </c>
      <c r="H89" t="s">
        <v>461</v>
      </c>
      <c r="I89" t="s">
        <v>290</v>
      </c>
      <c r="J89" s="6">
        <v>3261.51</v>
      </c>
      <c r="K89" s="6">
        <v>1243.37</v>
      </c>
      <c r="L89" s="6">
        <v>0</v>
      </c>
      <c r="M89" s="6">
        <v>4504.88</v>
      </c>
      <c r="N89" s="6">
        <v>0</v>
      </c>
      <c r="O89" s="6">
        <v>0</v>
      </c>
      <c r="P89" s="6">
        <v>0</v>
      </c>
      <c r="Q89" s="6">
        <v>4504.88</v>
      </c>
      <c r="R89" s="6">
        <f>M89-N89-O89</f>
      </c>
      <c r="S89" s="6">
        <f>Q89</f>
      </c>
      <c r="T89" s="7">
        <v>46112.125</v>
      </c>
      <c r="U89" s="6">
        <f>M89-N89-O89-P89-Q89</f>
      </c>
      <c r="W89" s="8"/>
    </row>
    <row r="90" spans="1:23" x14ac:dyDescent="0.25">
      <c r="A90" s="5">
        <v>46082.125</v>
      </c>
      <c r="B90" s="5">
        <v>46054.125</v>
      </c>
      <c r="C90" s="5">
        <v>46082.125</v>
      </c>
      <c r="D90">
        <v>803</v>
      </c>
      <c r="E90">
        <v>48191</v>
      </c>
      <c r="F90" t="s">
        <v>462</v>
      </c>
      <c r="G90" t="s">
        <v>288</v>
      </c>
      <c r="H90" t="s">
        <v>463</v>
      </c>
      <c r="I90" t="s">
        <v>315</v>
      </c>
      <c r="J90" s="6">
        <v>0</v>
      </c>
      <c r="K90" s="6">
        <v>3187.6</v>
      </c>
      <c r="L90" s="6">
        <v>0</v>
      </c>
      <c r="M90" s="6">
        <v>3187.6</v>
      </c>
      <c r="N90" s="6">
        <v>0</v>
      </c>
      <c r="O90" s="6">
        <v>0</v>
      </c>
      <c r="P90" s="6">
        <v>0</v>
      </c>
      <c r="Q90" s="6">
        <v>3187.6</v>
      </c>
      <c r="R90" s="6">
        <f>M90-N90-O90</f>
      </c>
      <c r="S90" s="6">
        <f>Q90</f>
      </c>
      <c r="T90" s="7">
        <v>46112.125</v>
      </c>
      <c r="U90" s="6">
        <f>M90-N90-O90-P90-Q90</f>
      </c>
      <c r="W90" s="8"/>
    </row>
    <row r="91" spans="1:23" x14ac:dyDescent="0.25">
      <c r="A91" s="5">
        <v>46082.125</v>
      </c>
      <c r="B91" s="5">
        <v>46054.125</v>
      </c>
      <c r="C91" s="5">
        <v>46082.125</v>
      </c>
      <c r="D91">
        <v>209</v>
      </c>
      <c r="E91">
        <v>48193</v>
      </c>
      <c r="F91" t="s">
        <v>464</v>
      </c>
      <c r="G91" t="s">
        <v>288</v>
      </c>
      <c r="H91" t="s">
        <v>465</v>
      </c>
      <c r="I91" t="s">
        <v>290</v>
      </c>
      <c r="J91" s="6">
        <v>3878.54</v>
      </c>
      <c r="K91" s="6">
        <v>107.04</v>
      </c>
      <c r="L91" s="6">
        <v>0</v>
      </c>
      <c r="M91" s="6">
        <v>3985.58</v>
      </c>
      <c r="N91" s="6">
        <v>0</v>
      </c>
      <c r="O91" s="6">
        <v>0</v>
      </c>
      <c r="P91" s="6">
        <v>0</v>
      </c>
      <c r="Q91" s="6">
        <v>3985.58</v>
      </c>
      <c r="R91" s="6">
        <f>M91-N91-O91</f>
      </c>
      <c r="S91" s="6">
        <f>Q91</f>
      </c>
      <c r="T91" s="7">
        <v>46112.125</v>
      </c>
      <c r="U91" s="6">
        <f>M91-N91-O91-P91-Q91</f>
      </c>
      <c r="W91" s="8"/>
    </row>
    <row r="92" spans="1:23" x14ac:dyDescent="0.25">
      <c r="A92" s="5">
        <v>46082.125</v>
      </c>
      <c r="B92" s="5">
        <v>46054.125</v>
      </c>
      <c r="C92" s="5">
        <v>46082.125</v>
      </c>
      <c r="D92">
        <v>919</v>
      </c>
      <c r="E92">
        <v>48194</v>
      </c>
      <c r="F92" t="s">
        <v>466</v>
      </c>
      <c r="G92" t="s">
        <v>288</v>
      </c>
      <c r="H92" t="s">
        <v>467</v>
      </c>
      <c r="I92" t="s">
        <v>290</v>
      </c>
      <c r="J92" s="6">
        <v>2098.39</v>
      </c>
      <c r="K92" s="6">
        <v>11.99</v>
      </c>
      <c r="L92" s="6">
        <v>0</v>
      </c>
      <c r="M92" s="6">
        <v>2110.38</v>
      </c>
      <c r="N92" s="6">
        <v>0</v>
      </c>
      <c r="O92" s="6">
        <v>0</v>
      </c>
      <c r="P92" s="6">
        <v>0</v>
      </c>
      <c r="Q92" s="6">
        <v>2110.38</v>
      </c>
      <c r="R92" s="6">
        <f>M92-N92-O92</f>
      </c>
      <c r="S92" s="6">
        <f>Q92</f>
      </c>
      <c r="T92" s="7">
        <v>46112.125</v>
      </c>
      <c r="U92" s="6">
        <f>M92-N92-O92-P92-Q92</f>
      </c>
      <c r="W92" s="8"/>
    </row>
    <row r="93" spans="1:23" x14ac:dyDescent="0.25">
      <c r="A93" s="5">
        <v>46082.125</v>
      </c>
      <c r="B93" s="5">
        <v>46054.125</v>
      </c>
      <c r="C93" s="5">
        <v>46082.125</v>
      </c>
      <c r="D93">
        <v>19</v>
      </c>
      <c r="E93">
        <v>48202</v>
      </c>
      <c r="F93" t="s">
        <v>468</v>
      </c>
      <c r="G93" t="s">
        <v>288</v>
      </c>
      <c r="H93" t="s">
        <v>469</v>
      </c>
      <c r="I93" t="s">
        <v>470</v>
      </c>
      <c r="J93" s="6">
        <v>276.76</v>
      </c>
      <c r="K93" s="6">
        <v>376.74</v>
      </c>
      <c r="L93" s="6">
        <v>0</v>
      </c>
      <c r="M93" s="6">
        <v>653.5</v>
      </c>
      <c r="N93" s="6">
        <v>0</v>
      </c>
      <c r="O93" s="6">
        <v>14.18</v>
      </c>
      <c r="P93" s="6">
        <v>0</v>
      </c>
      <c r="Q93" s="6">
        <v>639.32</v>
      </c>
      <c r="R93" s="6">
        <f>M93-N93-O93</f>
      </c>
      <c r="S93" s="6">
        <f>Q93</f>
      </c>
      <c r="T93" s="7">
        <v>46112.125</v>
      </c>
      <c r="U93" s="6">
        <f>M93-N93-O93-P93-Q93</f>
      </c>
      <c r="W93" s="8"/>
    </row>
    <row r="94" spans="1:23" x14ac:dyDescent="0.25">
      <c r="A94" s="5">
        <v>46082.125</v>
      </c>
      <c r="B94" s="5">
        <v>46054.125</v>
      </c>
      <c r="C94" s="5">
        <v>46082.125</v>
      </c>
      <c r="D94">
        <v>30</v>
      </c>
      <c r="E94">
        <v>48204</v>
      </c>
      <c r="F94" t="s">
        <v>471</v>
      </c>
      <c r="G94" t="s">
        <v>288</v>
      </c>
      <c r="H94" t="s">
        <v>472</v>
      </c>
      <c r="I94" t="s">
        <v>290</v>
      </c>
      <c r="J94" s="6">
        <v>2121.03</v>
      </c>
      <c r="K94" s="6">
        <v>619.49</v>
      </c>
      <c r="L94" s="6">
        <v>0</v>
      </c>
      <c r="M94" s="6">
        <v>2740.52</v>
      </c>
      <c r="N94" s="6">
        <v>0</v>
      </c>
      <c r="O94" s="6">
        <v>0</v>
      </c>
      <c r="P94" s="6">
        <v>0</v>
      </c>
      <c r="Q94" s="6">
        <v>2740.52</v>
      </c>
      <c r="R94" s="6">
        <f>M94-N94-O94</f>
      </c>
      <c r="S94" s="6">
        <f>Q94</f>
      </c>
      <c r="T94" s="7">
        <v>46112.125</v>
      </c>
      <c r="U94" s="6">
        <f>M94-N94-O94-P94-Q94</f>
      </c>
      <c r="W94" s="8"/>
    </row>
    <row r="95" spans="1:23" x14ac:dyDescent="0.25">
      <c r="A95" s="5">
        <v>46082.125</v>
      </c>
      <c r="B95" s="5">
        <v>46054.125</v>
      </c>
      <c r="C95" s="5">
        <v>46082.125</v>
      </c>
      <c r="D95">
        <v>684</v>
      </c>
      <c r="E95">
        <v>48207</v>
      </c>
      <c r="F95" t="s">
        <v>473</v>
      </c>
      <c r="G95" t="s">
        <v>288</v>
      </c>
      <c r="H95" t="s">
        <v>474</v>
      </c>
      <c r="I95" t="s">
        <v>290</v>
      </c>
      <c r="J95" s="6">
        <v>308.98</v>
      </c>
      <c r="K95" s="6">
        <v>0</v>
      </c>
      <c r="L95" s="6">
        <v>0</v>
      </c>
      <c r="M95" s="6">
        <v>308.98</v>
      </c>
      <c r="N95" s="6">
        <v>0</v>
      </c>
      <c r="O95" s="6">
        <v>0</v>
      </c>
      <c r="P95" s="6">
        <v>0</v>
      </c>
      <c r="Q95" s="6">
        <v>308.98</v>
      </c>
      <c r="R95" s="6">
        <f>M95-N95-O95</f>
      </c>
      <c r="S95" s="6">
        <f>Q95</f>
      </c>
      <c r="T95" s="7">
        <v>46112.125</v>
      </c>
      <c r="U95" s="6">
        <f>M95-N95-O95-P95-Q95</f>
      </c>
      <c r="W95" s="8"/>
    </row>
    <row r="96" spans="1:23" x14ac:dyDescent="0.25">
      <c r="A96" s="5">
        <v>46082.125</v>
      </c>
      <c r="B96" s="5">
        <v>46054.125</v>
      </c>
      <c r="C96" s="5">
        <v>46082.125</v>
      </c>
      <c r="D96">
        <v>749</v>
      </c>
      <c r="E96">
        <v>48208</v>
      </c>
      <c r="F96" t="s">
        <v>419</v>
      </c>
      <c r="G96" t="s">
        <v>288</v>
      </c>
      <c r="H96" t="s">
        <v>420</v>
      </c>
      <c r="I96" t="s">
        <v>290</v>
      </c>
      <c r="J96" s="6">
        <v>3432.48</v>
      </c>
      <c r="K96" s="6">
        <v>1151.42</v>
      </c>
      <c r="L96" s="6">
        <v>0</v>
      </c>
      <c r="M96" s="6">
        <v>4583.9</v>
      </c>
      <c r="N96" s="6">
        <v>0</v>
      </c>
      <c r="O96" s="6">
        <v>0</v>
      </c>
      <c r="P96" s="6">
        <v>0</v>
      </c>
      <c r="Q96" s="6">
        <v>4583.9</v>
      </c>
      <c r="R96" s="6">
        <f>M96-N96-O96</f>
      </c>
      <c r="S96" s="6">
        <f>Q96</f>
      </c>
      <c r="T96" s="7">
        <v>46112.125</v>
      </c>
      <c r="U96" s="6">
        <f>M96-N96-O96-P96-Q96</f>
      </c>
      <c r="W96" s="8"/>
    </row>
    <row r="97" spans="1:23" x14ac:dyDescent="0.25">
      <c r="A97" s="5">
        <v>46082.125</v>
      </c>
      <c r="B97" s="5">
        <v>46054.125</v>
      </c>
      <c r="C97" s="5">
        <v>46082.125</v>
      </c>
      <c r="D97">
        <v>2016</v>
      </c>
      <c r="E97">
        <v>48209</v>
      </c>
      <c r="F97" t="s">
        <v>475</v>
      </c>
      <c r="G97" t="s">
        <v>288</v>
      </c>
      <c r="H97" t="s">
        <v>476</v>
      </c>
      <c r="I97" t="s">
        <v>323</v>
      </c>
      <c r="J97" s="6">
        <v>662.03</v>
      </c>
      <c r="K97" s="6">
        <v>149.04</v>
      </c>
      <c r="L97" s="6">
        <v>0</v>
      </c>
      <c r="M97" s="6">
        <v>811.07</v>
      </c>
      <c r="N97" s="6">
        <v>0</v>
      </c>
      <c r="O97" s="6">
        <v>17.6</v>
      </c>
      <c r="P97" s="6">
        <v>0</v>
      </c>
      <c r="Q97" s="6">
        <v>793.47</v>
      </c>
      <c r="R97" s="6">
        <f>M97-N97-O97</f>
      </c>
      <c r="S97" s="6">
        <f>Q97</f>
      </c>
      <c r="T97" s="7">
        <v>46112.125</v>
      </c>
      <c r="U97" s="6">
        <f>M97-N97-O97-P97-Q97</f>
      </c>
      <c r="W97" s="8"/>
    </row>
    <row r="98" spans="1:23" x14ac:dyDescent="0.25">
      <c r="A98" s="5">
        <v>46082.125</v>
      </c>
      <c r="B98" s="5">
        <v>46054.125</v>
      </c>
      <c r="C98" s="5">
        <v>46082.125</v>
      </c>
      <c r="D98">
        <v>595</v>
      </c>
      <c r="E98">
        <v>48210</v>
      </c>
      <c r="F98" t="s">
        <v>477</v>
      </c>
      <c r="G98" t="s">
        <v>288</v>
      </c>
      <c r="H98" t="s">
        <v>478</v>
      </c>
      <c r="I98" t="s">
        <v>479</v>
      </c>
      <c r="J98" s="6">
        <v>507.65</v>
      </c>
      <c r="K98" s="6">
        <v>329.5</v>
      </c>
      <c r="L98" s="6">
        <v>0</v>
      </c>
      <c r="M98" s="6">
        <v>837.15</v>
      </c>
      <c r="N98" s="6">
        <v>0</v>
      </c>
      <c r="O98" s="6">
        <v>26.29</v>
      </c>
      <c r="P98" s="6">
        <v>0</v>
      </c>
      <c r="Q98" s="6">
        <v>810.86</v>
      </c>
      <c r="R98" s="6">
        <f>M98-N98-O98</f>
      </c>
      <c r="S98" s="6">
        <f>Q98</f>
      </c>
      <c r="T98" s="7">
        <v>46112.125</v>
      </c>
      <c r="U98" s="6">
        <f>M98-N98-O98-P98-Q98</f>
      </c>
      <c r="W98" s="8"/>
    </row>
    <row r="99" spans="1:23" x14ac:dyDescent="0.25">
      <c r="A99" s="5">
        <v>46082.125</v>
      </c>
      <c r="B99" s="5">
        <v>46054.125</v>
      </c>
      <c r="C99" s="5">
        <v>46082.125</v>
      </c>
      <c r="D99">
        <v>480</v>
      </c>
      <c r="E99">
        <v>48211</v>
      </c>
      <c r="F99" t="s">
        <v>480</v>
      </c>
      <c r="G99" t="s">
        <v>288</v>
      </c>
      <c r="H99" t="s">
        <v>481</v>
      </c>
      <c r="I99" t="s">
        <v>290</v>
      </c>
      <c r="J99" s="6">
        <v>0</v>
      </c>
      <c r="K99" s="6">
        <v>19.08</v>
      </c>
      <c r="L99" s="6">
        <v>0</v>
      </c>
      <c r="M99" s="6">
        <v>19.08</v>
      </c>
      <c r="N99" s="6">
        <v>0</v>
      </c>
      <c r="O99" s="6">
        <v>0</v>
      </c>
      <c r="P99" s="6">
        <v>0</v>
      </c>
      <c r="Q99" s="6">
        <v>19.08</v>
      </c>
      <c r="R99" s="6">
        <f>M99-N99-O99</f>
      </c>
      <c r="S99" s="6">
        <f>Q99</f>
      </c>
      <c r="T99" s="7">
        <v>46112.125</v>
      </c>
      <c r="U99" s="6">
        <f>M99-N99-O99-P99-Q99</f>
      </c>
      <c r="W99" s="8"/>
    </row>
    <row r="100" spans="1:23" x14ac:dyDescent="0.25">
      <c r="A100" s="5">
        <v>46082.125</v>
      </c>
      <c r="B100" s="5">
        <v>46054.125</v>
      </c>
      <c r="C100" s="5">
        <v>46082.125</v>
      </c>
      <c r="D100">
        <v>960</v>
      </c>
      <c r="E100">
        <v>48212</v>
      </c>
      <c r="F100" t="s">
        <v>482</v>
      </c>
      <c r="G100" t="s">
        <v>288</v>
      </c>
      <c r="H100" t="s">
        <v>483</v>
      </c>
      <c r="I100" t="s">
        <v>290</v>
      </c>
      <c r="J100" s="6">
        <v>91.35</v>
      </c>
      <c r="K100" s="6">
        <v>0</v>
      </c>
      <c r="L100" s="6">
        <v>0</v>
      </c>
      <c r="M100" s="6">
        <v>91.35</v>
      </c>
      <c r="N100" s="6">
        <v>0</v>
      </c>
      <c r="O100" s="6">
        <v>0</v>
      </c>
      <c r="P100" s="6">
        <v>0</v>
      </c>
      <c r="Q100" s="6">
        <v>91.35</v>
      </c>
      <c r="R100" s="6">
        <f>M100-N100-O100</f>
      </c>
      <c r="S100" s="6">
        <f>Q100</f>
      </c>
      <c r="T100" s="7">
        <v>46112.125</v>
      </c>
      <c r="U100" s="6">
        <f>M100-N100-O100-P100-Q100</f>
      </c>
      <c r="W100" s="8"/>
    </row>
    <row r="101" spans="1:23" x14ac:dyDescent="0.25">
      <c r="A101" s="5">
        <v>46082.125</v>
      </c>
      <c r="B101" s="5">
        <v>46054.125</v>
      </c>
      <c r="C101" s="5">
        <v>46082.125</v>
      </c>
      <c r="D101">
        <v>922</v>
      </c>
      <c r="E101">
        <v>48214</v>
      </c>
      <c r="F101" t="s">
        <v>484</v>
      </c>
      <c r="G101" t="s">
        <v>288</v>
      </c>
      <c r="H101" t="s">
        <v>485</v>
      </c>
      <c r="I101" t="s">
        <v>315</v>
      </c>
      <c r="J101" s="6">
        <v>7546.92</v>
      </c>
      <c r="K101" s="6">
        <v>1215.89</v>
      </c>
      <c r="L101" s="6">
        <v>0</v>
      </c>
      <c r="M101" s="6">
        <v>8762.81</v>
      </c>
      <c r="N101" s="6">
        <v>0</v>
      </c>
      <c r="O101" s="6">
        <v>0</v>
      </c>
      <c r="P101" s="6">
        <v>0</v>
      </c>
      <c r="Q101" s="6">
        <v>8762.81</v>
      </c>
      <c r="R101" s="6">
        <f>M101-N101-O101</f>
      </c>
      <c r="S101" s="6">
        <f>Q101</f>
      </c>
      <c r="T101" s="7">
        <v>46112.125</v>
      </c>
      <c r="U101" s="6">
        <f>M101-N101-O101-P101-Q101</f>
      </c>
      <c r="W101" s="8"/>
    </row>
    <row r="102" spans="1:23" x14ac:dyDescent="0.25">
      <c r="A102" s="5">
        <v>46082.125</v>
      </c>
      <c r="B102" s="5">
        <v>46054.125</v>
      </c>
      <c r="C102" s="5">
        <v>46082.125</v>
      </c>
      <c r="D102">
        <v>938</v>
      </c>
      <c r="E102">
        <v>48217</v>
      </c>
      <c r="F102" t="s">
        <v>486</v>
      </c>
      <c r="G102" t="s">
        <v>288</v>
      </c>
      <c r="H102" t="s">
        <v>487</v>
      </c>
      <c r="I102" t="s">
        <v>323</v>
      </c>
      <c r="J102" s="6">
        <v>164.62</v>
      </c>
      <c r="K102" s="6">
        <v>180.26</v>
      </c>
      <c r="L102" s="6">
        <v>0</v>
      </c>
      <c r="M102" s="6">
        <v>344.88</v>
      </c>
      <c r="N102" s="6">
        <v>0</v>
      </c>
      <c r="O102" s="6">
        <v>13.28</v>
      </c>
      <c r="P102" s="6">
        <v>0</v>
      </c>
      <c r="Q102" s="6">
        <v>331.6</v>
      </c>
      <c r="R102" s="6">
        <f>M102-N102-O102</f>
      </c>
      <c r="S102" s="6">
        <f>Q102</f>
      </c>
      <c r="T102" s="7">
        <v>46112.125</v>
      </c>
      <c r="U102" s="6">
        <f>M102-N102-O102-P102-Q102</f>
      </c>
      <c r="W102" s="8"/>
    </row>
    <row r="103" spans="1:23" x14ac:dyDescent="0.25">
      <c r="A103" s="5">
        <v>46082.125</v>
      </c>
      <c r="B103" s="5">
        <v>46054.125</v>
      </c>
      <c r="C103" s="5">
        <v>46082.125</v>
      </c>
      <c r="D103">
        <v>2055</v>
      </c>
      <c r="E103">
        <v>48219</v>
      </c>
      <c r="F103" t="s">
        <v>488</v>
      </c>
      <c r="G103" t="s">
        <v>288</v>
      </c>
      <c r="H103" t="s">
        <v>489</v>
      </c>
      <c r="I103" t="s">
        <v>323</v>
      </c>
      <c r="J103" s="6">
        <v>4772.25</v>
      </c>
      <c r="K103" s="6">
        <v>1685.25</v>
      </c>
      <c r="L103" s="6">
        <v>0</v>
      </c>
      <c r="M103" s="6">
        <v>6457.5</v>
      </c>
      <c r="N103" s="6">
        <v>0</v>
      </c>
      <c r="O103" s="6">
        <v>193.73</v>
      </c>
      <c r="P103" s="6">
        <v>0</v>
      </c>
      <c r="Q103" s="6">
        <v>6263.77</v>
      </c>
      <c r="R103" s="6">
        <f>M103-N103-O103</f>
      </c>
      <c r="S103" s="6">
        <f>Q103</f>
      </c>
      <c r="T103" s="7">
        <v>46112.125</v>
      </c>
      <c r="U103" s="6">
        <f>M103-N103-O103-P103-Q103</f>
      </c>
      <c r="W103" s="8"/>
    </row>
    <row r="104" spans="1:23" x14ac:dyDescent="0.25">
      <c r="A104" s="5">
        <v>46082.125</v>
      </c>
      <c r="B104" s="5">
        <v>46054.125</v>
      </c>
      <c r="C104" s="5">
        <v>46082.125</v>
      </c>
      <c r="D104">
        <v>1038</v>
      </c>
      <c r="E104">
        <v>48220</v>
      </c>
      <c r="F104" t="s">
        <v>490</v>
      </c>
      <c r="G104" t="s">
        <v>288</v>
      </c>
      <c r="H104" t="s">
        <v>491</v>
      </c>
      <c r="I104" t="s">
        <v>300</v>
      </c>
      <c r="J104" s="6">
        <v>475.43</v>
      </c>
      <c r="K104" s="6">
        <v>241.5</v>
      </c>
      <c r="L104" s="6">
        <v>0</v>
      </c>
      <c r="M104" s="6">
        <v>716.93</v>
      </c>
      <c r="N104" s="6">
        <v>0</v>
      </c>
      <c r="O104" s="6">
        <v>15.56</v>
      </c>
      <c r="P104" s="6">
        <v>0</v>
      </c>
      <c r="Q104" s="6">
        <v>701.37</v>
      </c>
      <c r="R104" s="6">
        <f>M104-N104-O104</f>
      </c>
      <c r="S104" s="6">
        <f>Q104</f>
      </c>
      <c r="T104" s="7">
        <v>46112.125</v>
      </c>
      <c r="U104" s="6">
        <f>M104-N104-O104-P104-Q104</f>
      </c>
      <c r="W104" s="8"/>
    </row>
    <row r="105" spans="1:23" x14ac:dyDescent="0.25">
      <c r="A105" s="5">
        <v>46082.125</v>
      </c>
      <c r="B105" s="5">
        <v>46054.125</v>
      </c>
      <c r="C105" s="5">
        <v>46082.125</v>
      </c>
      <c r="D105">
        <v>2045</v>
      </c>
      <c r="E105">
        <v>48221</v>
      </c>
      <c r="F105" t="s">
        <v>492</v>
      </c>
      <c r="G105" t="s">
        <v>288</v>
      </c>
      <c r="H105" t="s">
        <v>493</v>
      </c>
      <c r="I105" t="s">
        <v>323</v>
      </c>
      <c r="J105" s="6">
        <v>285.48</v>
      </c>
      <c r="K105" s="6">
        <v>296.99</v>
      </c>
      <c r="L105" s="6">
        <v>0</v>
      </c>
      <c r="M105" s="6">
        <v>582.47</v>
      </c>
      <c r="N105" s="6">
        <v>0</v>
      </c>
      <c r="O105" s="6">
        <v>15.73</v>
      </c>
      <c r="P105" s="6">
        <v>0</v>
      </c>
      <c r="Q105" s="6">
        <v>566.74</v>
      </c>
      <c r="R105" s="6">
        <f>M105-N105-O105</f>
      </c>
      <c r="S105" s="6">
        <f>Q105</f>
      </c>
      <c r="T105" s="7">
        <v>46112.125</v>
      </c>
      <c r="U105" s="6">
        <f>M105-N105-O105-P105-Q105</f>
      </c>
      <c r="W105" s="8"/>
    </row>
    <row r="106" spans="1:23" x14ac:dyDescent="0.25">
      <c r="A106" s="5">
        <v>46082.125</v>
      </c>
      <c r="B106" s="5">
        <v>46054.125</v>
      </c>
      <c r="C106" s="5">
        <v>46082.125</v>
      </c>
      <c r="D106">
        <v>70</v>
      </c>
      <c r="E106">
        <v>48222</v>
      </c>
      <c r="F106" t="s">
        <v>494</v>
      </c>
      <c r="G106" t="s">
        <v>288</v>
      </c>
      <c r="H106" t="s">
        <v>495</v>
      </c>
      <c r="I106" t="s">
        <v>470</v>
      </c>
      <c r="J106" s="6">
        <v>1167.22</v>
      </c>
      <c r="K106" s="6">
        <v>795.56</v>
      </c>
      <c r="L106" s="6">
        <v>0</v>
      </c>
      <c r="M106" s="6">
        <v>1962.78</v>
      </c>
      <c r="N106" s="6">
        <v>0</v>
      </c>
      <c r="O106" s="6">
        <v>42.59</v>
      </c>
      <c r="P106" s="6">
        <v>0</v>
      </c>
      <c r="Q106" s="6">
        <v>1920.19</v>
      </c>
      <c r="R106" s="6">
        <f>M106-N106-O106</f>
      </c>
      <c r="S106" s="6">
        <f>Q106</f>
      </c>
      <c r="T106" s="7">
        <v>46112.125</v>
      </c>
      <c r="U106" s="6">
        <f>M106-N106-O106-P106-Q106</f>
      </c>
      <c r="W106" s="8"/>
    </row>
    <row r="107" spans="1:23" x14ac:dyDescent="0.25">
      <c r="A107" s="5">
        <v>46082.125</v>
      </c>
      <c r="B107" s="5">
        <v>46054.125</v>
      </c>
      <c r="C107" s="5">
        <v>46082.125</v>
      </c>
      <c r="D107">
        <v>622</v>
      </c>
      <c r="E107">
        <v>48224</v>
      </c>
      <c r="F107" t="s">
        <v>496</v>
      </c>
      <c r="G107" t="s">
        <v>288</v>
      </c>
      <c r="H107" t="s">
        <v>497</v>
      </c>
      <c r="I107" t="s">
        <v>290</v>
      </c>
      <c r="J107" s="6">
        <v>423.67</v>
      </c>
      <c r="K107" s="6">
        <v>67.89</v>
      </c>
      <c r="L107" s="6">
        <v>0</v>
      </c>
      <c r="M107" s="6">
        <v>491.56</v>
      </c>
      <c r="N107" s="6">
        <v>0</v>
      </c>
      <c r="O107" s="6">
        <v>0</v>
      </c>
      <c r="P107" s="6">
        <v>0</v>
      </c>
      <c r="Q107" s="6">
        <v>491.56</v>
      </c>
      <c r="R107" s="6">
        <f>M107-N107-O107</f>
      </c>
      <c r="S107" s="6">
        <f>Q107</f>
      </c>
      <c r="T107" s="7">
        <v>46112.125</v>
      </c>
      <c r="U107" s="6">
        <f>M107-N107-O107-P107-Q107</f>
      </c>
      <c r="W107" s="8"/>
    </row>
    <row r="108" spans="1:23" x14ac:dyDescent="0.25">
      <c r="A108" s="5">
        <v>46082.125</v>
      </c>
      <c r="B108" s="5">
        <v>46054.125</v>
      </c>
      <c r="C108" s="5">
        <v>46082.125</v>
      </c>
      <c r="D108">
        <v>1040</v>
      </c>
      <c r="E108">
        <v>48225</v>
      </c>
      <c r="F108" t="s">
        <v>498</v>
      </c>
      <c r="G108" t="s">
        <v>288</v>
      </c>
      <c r="H108" t="s">
        <v>499</v>
      </c>
      <c r="I108" t="s">
        <v>459</v>
      </c>
      <c r="J108" s="6">
        <v>476.31</v>
      </c>
      <c r="K108" s="6">
        <v>436.45</v>
      </c>
      <c r="L108" s="6">
        <v>0</v>
      </c>
      <c r="M108" s="6">
        <v>912.76</v>
      </c>
      <c r="N108" s="6">
        <v>0</v>
      </c>
      <c r="O108" s="6">
        <v>19.81</v>
      </c>
      <c r="P108" s="6">
        <v>0</v>
      </c>
      <c r="Q108" s="6">
        <v>892.95</v>
      </c>
      <c r="R108" s="6">
        <f>M108-N108-O108</f>
      </c>
      <c r="S108" s="6">
        <f>Q108</f>
      </c>
      <c r="T108" s="7">
        <v>46112.125</v>
      </c>
      <c r="U108" s="6">
        <f>M108-N108-O108-P108-Q108</f>
      </c>
      <c r="W108" s="8"/>
    </row>
    <row r="109" spans="1:23" x14ac:dyDescent="0.25">
      <c r="A109" s="5">
        <v>46082.125</v>
      </c>
      <c r="B109" s="5">
        <v>46054.125</v>
      </c>
      <c r="C109" s="5">
        <v>46082.125</v>
      </c>
      <c r="D109">
        <v>166</v>
      </c>
      <c r="E109">
        <v>48227</v>
      </c>
      <c r="F109" t="s">
        <v>500</v>
      </c>
      <c r="G109" t="s">
        <v>288</v>
      </c>
      <c r="H109" t="s">
        <v>501</v>
      </c>
      <c r="I109" t="s">
        <v>290</v>
      </c>
      <c r="J109" s="6">
        <v>1465.95</v>
      </c>
      <c r="K109" s="6">
        <v>554.03</v>
      </c>
      <c r="L109" s="6">
        <v>0</v>
      </c>
      <c r="M109" s="6">
        <v>2019.98</v>
      </c>
      <c r="N109" s="6">
        <v>0</v>
      </c>
      <c r="O109" s="6">
        <v>0</v>
      </c>
      <c r="P109" s="6">
        <v>0</v>
      </c>
      <c r="Q109" s="6">
        <v>2019.98</v>
      </c>
      <c r="R109" s="6">
        <f>M109-N109-O109</f>
      </c>
      <c r="S109" s="6">
        <f>Q109</f>
      </c>
      <c r="T109" s="7">
        <v>46112.125</v>
      </c>
      <c r="U109" s="6">
        <f>M109-N109-O109-P109-Q109</f>
      </c>
      <c r="W109" s="8"/>
    </row>
    <row r="110" spans="1:23" x14ac:dyDescent="0.25">
      <c r="A110" s="5">
        <v>46082.125</v>
      </c>
      <c r="B110" s="5">
        <v>46054.125</v>
      </c>
      <c r="C110" s="5">
        <v>46082.125</v>
      </c>
      <c r="D110">
        <v>374</v>
      </c>
      <c r="E110">
        <v>48228</v>
      </c>
      <c r="F110" t="s">
        <v>502</v>
      </c>
      <c r="G110" t="s">
        <v>288</v>
      </c>
      <c r="H110" t="s">
        <v>503</v>
      </c>
      <c r="I110" t="s">
        <v>303</v>
      </c>
      <c r="J110" s="6">
        <v>2244.8</v>
      </c>
      <c r="K110" s="6">
        <v>1595.44</v>
      </c>
      <c r="L110" s="6">
        <v>0</v>
      </c>
      <c r="M110" s="6">
        <v>3840.24</v>
      </c>
      <c r="N110" s="6">
        <v>0</v>
      </c>
      <c r="O110" s="6">
        <v>115.21</v>
      </c>
      <c r="P110" s="6">
        <v>0</v>
      </c>
      <c r="Q110" s="6">
        <v>3725.03</v>
      </c>
      <c r="R110" s="6">
        <f>M110-N110-O110</f>
      </c>
      <c r="S110" s="6">
        <f>Q110</f>
      </c>
      <c r="T110" s="7">
        <v>46112.125</v>
      </c>
      <c r="U110" s="6">
        <f>M110-N110-O110-P110-Q110</f>
      </c>
      <c r="W110" s="8"/>
    </row>
    <row r="111" spans="1:23" x14ac:dyDescent="0.25">
      <c r="A111" s="5">
        <v>46082.125</v>
      </c>
      <c r="B111" s="5">
        <v>46054.125</v>
      </c>
      <c r="C111" s="5">
        <v>46082.125</v>
      </c>
      <c r="D111">
        <v>1042</v>
      </c>
      <c r="E111">
        <v>48229</v>
      </c>
      <c r="F111" t="s">
        <v>504</v>
      </c>
      <c r="G111" t="s">
        <v>288</v>
      </c>
      <c r="H111" t="s">
        <v>505</v>
      </c>
      <c r="I111" t="s">
        <v>323</v>
      </c>
      <c r="J111" s="6">
        <v>2108.15</v>
      </c>
      <c r="K111" s="6">
        <v>905.34</v>
      </c>
      <c r="L111" s="6">
        <v>0</v>
      </c>
      <c r="M111" s="6">
        <v>3013.49</v>
      </c>
      <c r="N111" s="6">
        <v>0</v>
      </c>
      <c r="O111" s="6">
        <v>90.4</v>
      </c>
      <c r="P111" s="6">
        <v>0</v>
      </c>
      <c r="Q111" s="6">
        <v>2923.09</v>
      </c>
      <c r="R111" s="6">
        <f>M111-N111-O111</f>
      </c>
      <c r="S111" s="6">
        <f>Q111</f>
      </c>
      <c r="T111" s="7">
        <v>46112.125</v>
      </c>
      <c r="U111" s="6">
        <f>M111-N111-O111-P111-Q111</f>
      </c>
      <c r="W111" s="8"/>
    </row>
    <row r="112" spans="1:23" x14ac:dyDescent="0.25">
      <c r="A112" s="5">
        <v>46082.125</v>
      </c>
      <c r="B112" s="5">
        <v>46054.125</v>
      </c>
      <c r="C112" s="5">
        <v>46082.125</v>
      </c>
      <c r="D112">
        <v>843</v>
      </c>
      <c r="E112">
        <v>48232</v>
      </c>
      <c r="F112" t="s">
        <v>506</v>
      </c>
      <c r="G112" t="s">
        <v>288</v>
      </c>
      <c r="H112" t="s">
        <v>507</v>
      </c>
      <c r="I112" t="s">
        <v>290</v>
      </c>
      <c r="J112" s="6">
        <v>5410.89</v>
      </c>
      <c r="K112" s="6">
        <v>571.45</v>
      </c>
      <c r="L112" s="6">
        <v>0</v>
      </c>
      <c r="M112" s="6">
        <v>5982.34</v>
      </c>
      <c r="N112" s="6">
        <v>0</v>
      </c>
      <c r="O112" s="6">
        <v>0</v>
      </c>
      <c r="P112" s="6">
        <v>0</v>
      </c>
      <c r="Q112" s="6">
        <v>5982.34</v>
      </c>
      <c r="R112" s="6">
        <f>M112-N112-O112</f>
      </c>
      <c r="S112" s="6">
        <f>Q112</f>
      </c>
      <c r="T112" s="7">
        <v>46112.125</v>
      </c>
      <c r="U112" s="6">
        <f>M112-N112-O112-P112-Q112</f>
      </c>
      <c r="W112" s="8"/>
    </row>
    <row r="113" spans="1:23" x14ac:dyDescent="0.25">
      <c r="A113" s="5">
        <v>46082.125</v>
      </c>
      <c r="B113" s="5">
        <v>46054.125</v>
      </c>
      <c r="C113" s="5">
        <v>46082.125</v>
      </c>
      <c r="D113">
        <v>1082</v>
      </c>
      <c r="E113">
        <v>48234</v>
      </c>
      <c r="F113" t="s">
        <v>508</v>
      </c>
      <c r="G113" t="s">
        <v>288</v>
      </c>
      <c r="H113" t="s">
        <v>509</v>
      </c>
      <c r="I113" t="s">
        <v>323</v>
      </c>
      <c r="J113" s="6">
        <v>441.04</v>
      </c>
      <c r="K113" s="6">
        <v>146.88</v>
      </c>
      <c r="L113" s="6">
        <v>0</v>
      </c>
      <c r="M113" s="6">
        <v>587.92</v>
      </c>
      <c r="N113" s="6">
        <v>0</v>
      </c>
      <c r="O113" s="6">
        <v>12.76</v>
      </c>
      <c r="P113" s="6">
        <v>0</v>
      </c>
      <c r="Q113" s="6">
        <v>575.16</v>
      </c>
      <c r="R113" s="6">
        <f>M113-N113-O113</f>
      </c>
      <c r="S113" s="6">
        <f>Q113</f>
      </c>
      <c r="T113" s="7">
        <v>46112.125</v>
      </c>
      <c r="U113" s="6">
        <f>M113-N113-O113-P113-Q113</f>
      </c>
      <c r="W113" s="8"/>
    </row>
    <row r="114" spans="1:23" x14ac:dyDescent="0.25">
      <c r="A114" s="5">
        <v>46082.125</v>
      </c>
      <c r="B114" s="5">
        <v>46054.125</v>
      </c>
      <c r="C114" s="5">
        <v>46082.125</v>
      </c>
      <c r="D114">
        <v>1048</v>
      </c>
      <c r="E114">
        <v>48235</v>
      </c>
      <c r="F114" t="s">
        <v>510</v>
      </c>
      <c r="G114" t="s">
        <v>288</v>
      </c>
      <c r="H114" t="s">
        <v>511</v>
      </c>
      <c r="I114" t="s">
        <v>290</v>
      </c>
      <c r="J114" s="6">
        <v>280.82</v>
      </c>
      <c r="K114" s="6">
        <v>109.99</v>
      </c>
      <c r="L114" s="6">
        <v>0</v>
      </c>
      <c r="M114" s="6">
        <v>390.81</v>
      </c>
      <c r="N114" s="6">
        <v>0</v>
      </c>
      <c r="O114" s="6">
        <v>0</v>
      </c>
      <c r="P114" s="6">
        <v>0</v>
      </c>
      <c r="Q114" s="6">
        <v>390.81</v>
      </c>
      <c r="R114" s="6">
        <f>M114-N114-O114</f>
      </c>
      <c r="S114" s="6">
        <f>Q114</f>
      </c>
      <c r="T114" s="7">
        <v>46112.125</v>
      </c>
      <c r="U114" s="6">
        <f>M114-N114-O114-P114-Q114</f>
      </c>
      <c r="W114" s="8"/>
    </row>
    <row r="115" spans="1:23" x14ac:dyDescent="0.25">
      <c r="A115" s="5">
        <v>46082.125</v>
      </c>
      <c r="B115" s="5">
        <v>46082.125</v>
      </c>
      <c r="C115" s="5">
        <v>46082.125</v>
      </c>
      <c r="D115">
        <v>4524</v>
      </c>
      <c r="E115">
        <v>48245</v>
      </c>
      <c r="F115" t="s">
        <v>512</v>
      </c>
      <c r="G115" t="s">
        <v>288</v>
      </c>
      <c r="H115" t="s">
        <v>513</v>
      </c>
      <c r="I115" t="s">
        <v>514</v>
      </c>
      <c r="J115" s="6">
        <v>5840.08</v>
      </c>
      <c r="K115" s="6">
        <v>5923.59</v>
      </c>
      <c r="L115" s="6">
        <v>0</v>
      </c>
      <c r="M115" s="6">
        <v>11763.67</v>
      </c>
      <c r="N115" s="6">
        <v>0</v>
      </c>
      <c r="O115" s="6">
        <v>236.45</v>
      </c>
      <c r="P115" s="6">
        <v>0</v>
      </c>
      <c r="Q115" s="6">
        <v>11527.22</v>
      </c>
      <c r="R115" s="6">
        <f>M115-N115-O115</f>
      </c>
      <c r="S115" s="6">
        <f>Q115</f>
      </c>
      <c r="T115" s="7">
        <v>46112.125</v>
      </c>
      <c r="U115" s="6">
        <f>M115-N115-O115-P115-Q115</f>
      </c>
      <c r="W115" s="8"/>
    </row>
    <row r="116" spans="1:23" x14ac:dyDescent="0.25">
      <c r="A116" s="5">
        <v>46082.125</v>
      </c>
      <c r="B116" s="5">
        <v>46054.125</v>
      </c>
      <c r="C116" s="5">
        <v>46082.125</v>
      </c>
      <c r="D116">
        <v>907</v>
      </c>
      <c r="E116">
        <v>48307</v>
      </c>
      <c r="F116" t="s">
        <v>515</v>
      </c>
      <c r="G116" t="s">
        <v>288</v>
      </c>
      <c r="H116" t="s">
        <v>516</v>
      </c>
      <c r="I116" t="s">
        <v>323</v>
      </c>
      <c r="J116" s="6">
        <v>520.24</v>
      </c>
      <c r="K116" s="6">
        <v>289.57</v>
      </c>
      <c r="L116" s="6">
        <v>0</v>
      </c>
      <c r="M116" s="6">
        <v>809.81</v>
      </c>
      <c r="N116" s="6">
        <v>0</v>
      </c>
      <c r="O116" s="6">
        <v>17.57</v>
      </c>
      <c r="P116" s="6">
        <v>0</v>
      </c>
      <c r="Q116" s="6">
        <v>792.24</v>
      </c>
      <c r="R116" s="6">
        <f>M116-N116-O116</f>
      </c>
      <c r="S116" s="6">
        <f>Q116</f>
      </c>
      <c r="T116" s="7">
        <v>46112.125</v>
      </c>
      <c r="U116" s="6">
        <f>M116-N116-O116-P116-Q116</f>
      </c>
      <c r="W116" s="8"/>
    </row>
    <row r="117" spans="1:23" x14ac:dyDescent="0.25">
      <c r="A117" s="5">
        <v>46082.125</v>
      </c>
      <c r="B117" s="5">
        <v>46054.125</v>
      </c>
      <c r="C117" s="5">
        <v>46082.125</v>
      </c>
      <c r="D117">
        <v>965</v>
      </c>
      <c r="E117">
        <v>48308</v>
      </c>
      <c r="F117" t="s">
        <v>517</v>
      </c>
      <c r="G117" t="s">
        <v>288</v>
      </c>
      <c r="H117" t="s">
        <v>518</v>
      </c>
      <c r="I117" t="s">
        <v>454</v>
      </c>
      <c r="J117" s="6">
        <v>1028.21</v>
      </c>
      <c r="K117" s="6">
        <v>70.97</v>
      </c>
      <c r="L117" s="6">
        <v>0</v>
      </c>
      <c r="M117" s="6">
        <v>1099.18</v>
      </c>
      <c r="N117" s="6">
        <v>0</v>
      </c>
      <c r="O117" s="6">
        <v>0</v>
      </c>
      <c r="P117" s="6">
        <v>0</v>
      </c>
      <c r="Q117" s="6">
        <v>1099.18</v>
      </c>
      <c r="R117" s="6">
        <f>M117-N117-O117</f>
      </c>
      <c r="S117" s="6">
        <f>Q117</f>
      </c>
      <c r="T117" s="7">
        <v>46112.125</v>
      </c>
      <c r="U117" s="6">
        <f>M117-N117-O117-P117-Q117</f>
      </c>
      <c r="W117" s="8"/>
    </row>
    <row r="118" spans="1:19" s="9" customFormat="1" x14ac:dyDescent="0.25">
      <c r="A118" s="9" t="s">
        <v>286</v>
      </c>
      <c r="J118" s="10">
        <f>SUM(J4:J117)</f>
      </c>
      <c r="K118" s="10">
        <f>SUM(K4:K117)</f>
      </c>
      <c r="L118" s="10">
        <f>SUM(L4:L117)</f>
      </c>
      <c r="M118" s="10">
        <f>SUM(M4:M117)</f>
      </c>
      <c r="N118" s="10">
        <f>SUM(N4:N117)</f>
      </c>
      <c r="O118" s="10">
        <f>SUM(O4:O117)</f>
      </c>
      <c r="P118" s="10">
        <f>SUM(P4:P117)</f>
      </c>
      <c r="Q118" s="10">
        <f>SUM(Q4:Q117)</f>
      </c>
      <c r="R118" s="10">
        <f>SUM(R4:R117)</f>
      </c>
      <c r="S118" s="10">
        <f>SUM(S4:S117)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Eventos Conhecidos - PF</vt:lpstr>
      <vt:lpstr>Eventos Conhecidos - 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2026-04-24T18:50:44Z</dcterms:created>
  <dcterms:modified xsi:type="dcterms:W3CDTF">2026-04-24T18:50:44Z</dcterms:modified>
</cp:coreProperties>
</file>