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os Liquidados" state="visible" r:id="rId4"/>
  </sheets>
  <calcPr calcId="171027"/>
</workbook>
</file>

<file path=xl/sharedStrings.xml><?xml version="1.0" encoding="utf-8"?>
<sst xmlns="http://schemas.openxmlformats.org/spreadsheetml/2006/main" count="1255" uniqueCount="546">
  <si>
    <t>ODONTOART - EVENTOS LIQUIDADOS  -  MARÇO DE 2026</t>
  </si>
  <si>
    <t>Cruzar com os Eventos Cancelados</t>
  </si>
  <si>
    <t>COMP</t>
  </si>
  <si>
    <t>DT. AVISO</t>
  </si>
  <si>
    <t>CODIGO</t>
  </si>
  <si>
    <t>LOTE</t>
  </si>
  <si>
    <t>NOME-PRESTADOR                                         (TITULAR)</t>
  </si>
  <si>
    <t>Modelo de Pagamento</t>
  </si>
  <si>
    <t>PF/PJ</t>
  </si>
  <si>
    <t>CNPJ/CPF</t>
  </si>
  <si>
    <t>EMPRESARIAL</t>
  </si>
  <si>
    <t>INDIVIDUAL</t>
  </si>
  <si>
    <t>ORTODONTIA</t>
  </si>
  <si>
    <t>DOCUMENTO</t>
  </si>
  <si>
    <t>N. DOC</t>
  </si>
  <si>
    <t>EMISSÃO</t>
  </si>
  <si>
    <t>VENCIMENTO</t>
  </si>
  <si>
    <t>REGISTRO</t>
  </si>
  <si>
    <t>VL. BRUTO</t>
  </si>
  <si>
    <t>DESCONTO</t>
  </si>
  <si>
    <t>ACRESCIMO</t>
  </si>
  <si>
    <t>PIS</t>
  </si>
  <si>
    <t>COFINS</t>
  </si>
  <si>
    <t>CSLL</t>
  </si>
  <si>
    <t>INSS</t>
  </si>
  <si>
    <t>ISS</t>
  </si>
  <si>
    <t>IR</t>
  </si>
  <si>
    <t>VL PAGO</t>
  </si>
  <si>
    <t>LIQUIDO AGING</t>
  </si>
  <si>
    <t>5952</t>
  </si>
  <si>
    <t>DT. PAGTO</t>
  </si>
  <si>
    <t>BANCO</t>
  </si>
  <si>
    <t/>
  </si>
  <si>
    <t>ADELINE LOPES DE ALBUQUERQUE - CRED COD(3316) CRO: 3316</t>
  </si>
  <si>
    <t>RPA EXTERNO - ITAU</t>
  </si>
  <si>
    <t>PF</t>
  </si>
  <si>
    <t>393.513.863-68</t>
  </si>
  <si>
    <t>CAIXA ECONOMICA FEDERAL (104)</t>
  </si>
  <si>
    <t>ADRIANO LIMA VERDE DE LIMA COD(10002) CRO: 2874</t>
  </si>
  <si>
    <t>RPA EXTERNO SEM ISS - ITAU</t>
  </si>
  <si>
    <t>120.665.318-39</t>
  </si>
  <si>
    <t>BANCO BRADESCO S.A. (237)</t>
  </si>
  <si>
    <t>ADRIELLE FERNANDES BRITO VASCONCELOS COD(14050) CRO: 11768</t>
  </si>
  <si>
    <t>060.509.883-23</t>
  </si>
  <si>
    <t>BANCO SANTANDER S.A. (033)</t>
  </si>
  <si>
    <t>ALBA FORTUNA DE ALBUQUERQUE CAMARA FAUSTINO - DIAGNOSTICO CLINICO FORTALEZA COD(15927) CRO: 16242</t>
  </si>
  <si>
    <t>RPA INTERNO CLINICO - ITAU</t>
  </si>
  <si>
    <t>621.405.273-21</t>
  </si>
  <si>
    <t>NU PAGAMENTOS S.A. (260)</t>
  </si>
  <si>
    <t>ALEIDA ISABEL DE VEIGA MARTINS - CLINICO FORTALEZA COD(82879) CRO: 13531</t>
  </si>
  <si>
    <t>082.843.561-80</t>
  </si>
  <si>
    <t>MERCADOPAGO.COM REPRESENTACOES LTDA (323)</t>
  </si>
  <si>
    <t>ALEXANDRE GOMES DE SIQUEIRA COD(8748) CRO: 9512</t>
  </si>
  <si>
    <t>724.981.297-15</t>
  </si>
  <si>
    <t>PICPAY SERVICOS S.A (380)</t>
  </si>
  <si>
    <t>ALFREDO BEZERRA DA SILVA COD(15267) CRO: 14054</t>
  </si>
  <si>
    <t>613.783.303-82</t>
  </si>
  <si>
    <t>AMANDA MATOS TAVARES - SUBSTITUTO CLINICO FORTALEZA COD(82984) CRO: 17681</t>
  </si>
  <si>
    <t>046.250.703-33</t>
  </si>
  <si>
    <t>ANA BEATRIZ DE SA COD(82894) CRO: 14961</t>
  </si>
  <si>
    <t>067.860.173-98</t>
  </si>
  <si>
    <t>BANCO INTER SA (077)</t>
  </si>
  <si>
    <t>ANA CAROLINE DOS SANTOS LIMA - DIAGNOSTICO CLINICO FORTALEZA COD(13514) CRO: 12787</t>
  </si>
  <si>
    <t>072.256.663-80</t>
  </si>
  <si>
    <t>BANCO ITAU S.A. (341)</t>
  </si>
  <si>
    <t>ANA CLAUDIA DE SOUSA VERAS - CLINICO APEOC COD(7474) CRO: 2407</t>
  </si>
  <si>
    <t>RPA INTERNO CLINICO - BANCO DO BRASIL</t>
  </si>
  <si>
    <t>410.427.783-53</t>
  </si>
  <si>
    <t>BANCO DO BRASIL S.A. (001)</t>
  </si>
  <si>
    <t>ANA CLAUDIA DE SOUSA VERAS - CLINICO FORTALEZA COD(2407) CRO: 2407</t>
  </si>
  <si>
    <t>ANA JULIA FERNANDES TORRES- CLINICO FORTALEZA COD(15514) CRO: 15396</t>
  </si>
  <si>
    <t>079.404.393-32</t>
  </si>
  <si>
    <t>ANA KAMILA ALENCAR KARAM COD(82880) CRO: 9083</t>
  </si>
  <si>
    <t>RPA EXTERNO SEM ISS - BANCO DO BRASIL</t>
  </si>
  <si>
    <t>054.126.853-82</t>
  </si>
  <si>
    <t>ANA SAMYLLE ALVES MOURA - CLINICO SOBRAL COD(9933) CRO: 10258</t>
  </si>
  <si>
    <t>062.244.533-22</t>
  </si>
  <si>
    <t>ANTONIA RAYANE LOIOLA FEITOSA - CLINICO FORTALEZA COD(15567) CRO: 15658</t>
  </si>
  <si>
    <t>062.650.663-82</t>
  </si>
  <si>
    <t>ANTONIO MARCIO ALMEIDA MELO COD(15455) CRO: 4441</t>
  </si>
  <si>
    <t>RPA EXTERNO - BANCO DO BRASIL</t>
  </si>
  <si>
    <t>614.495.983-15</t>
  </si>
  <si>
    <t>ANTONIO MARLOS CORREIA COUTO COD(9597) CRO: 6599</t>
  </si>
  <si>
    <t>025.848.923-59</t>
  </si>
  <si>
    <t>ARETHIA BASTOS SANTOS SILVA COD(15681) CRO: 14829</t>
  </si>
  <si>
    <t>953.393.295-34</t>
  </si>
  <si>
    <t>ARIEL KEYMESSON SOUZA DE MELO - CLINICO SOBRAL COD(15296) CRO: 14513</t>
  </si>
  <si>
    <t>070.035.413-19</t>
  </si>
  <si>
    <t>ARIEL KEYMESSON SOUZA DE MELO - DIAGNOSTICO CLINICO SOBRAL COD(15759) CRO: 14513</t>
  </si>
  <si>
    <t>ARTHUR REGO DE QUEIROS COD(82777) CRO: 8276</t>
  </si>
  <si>
    <t>084.735.624-88</t>
  </si>
  <si>
    <t>ARYANNE FORTUNA DE ALBUQUERQUE CAMARA FAUSTINO - CLINICO APEOC COD(82865) CRO: 16241</t>
  </si>
  <si>
    <t>621.405.333-05</t>
  </si>
  <si>
    <t>ARYANNE FORTUNA DE ALBUQUERQUE CAMARA FAUSTINO - CLINICO FORTALEZA COD(15732) CRO: 16241</t>
  </si>
  <si>
    <t>RPA INTERNO CLINICO SEM ISS</t>
  </si>
  <si>
    <t>BEATRIZ PURCARU COD(15604) CRO: 11201</t>
  </si>
  <si>
    <t>067.393.903-04</t>
  </si>
  <si>
    <t>BEATRIZ SANTOS OLIVEIRA COD(15877) CRO: 16035</t>
  </si>
  <si>
    <t>025.393.263-74</t>
  </si>
  <si>
    <t>BRISA RUBENS DOS SANTOS COD(9041) CRO: 7338</t>
  </si>
  <si>
    <t>035.824.173-10</t>
  </si>
  <si>
    <t>BRUNO SILVA QUEIROZ COD(14672) CRO: 06512</t>
  </si>
  <si>
    <t>089.838.884-82</t>
  </si>
  <si>
    <t>CAMILA KEVILLANY PEREIRA BRAGA COD(8609) CRO: 8614</t>
  </si>
  <si>
    <t>059.235.673-69</t>
  </si>
  <si>
    <t>CARLA MARTINS DE OLIVEIRA COD(15785) CRO: 8383</t>
  </si>
  <si>
    <t>015.652.693-06</t>
  </si>
  <si>
    <t>CARLOS TARCIANO TEIXEIRA DE ALMEIDA COD(9859) CRO: 4597</t>
  </si>
  <si>
    <t>863.502.693-49</t>
  </si>
  <si>
    <t>CASSIA RESENDE BORGES - CLINICO FORTALEZA COD(16018) CRO: 17231</t>
  </si>
  <si>
    <t>062.716.193-63</t>
  </si>
  <si>
    <t>CLAUDIA HOLANDA MENDES MAIA COD(14671) CRO: 10918</t>
  </si>
  <si>
    <t>039.233.873-42</t>
  </si>
  <si>
    <t>CLAUDIA MARIA MOTA PORTO COD(8749) CRO: 1309</t>
  </si>
  <si>
    <t>091.618.723-34</t>
  </si>
  <si>
    <t>CLINICA CLIMESQ - (SANTA QUITÉRIA) - CEARÁ</t>
  </si>
  <si>
    <t>603.248.533-19</t>
  </si>
  <si>
    <t>CLÍNICA DR JERFESON VIRGULINO</t>
  </si>
  <si>
    <t>051.622.393-30</t>
  </si>
  <si>
    <t>DAVID CHAVES FARIAS COD(8211) CRO: 6872</t>
  </si>
  <si>
    <t>627.298.373-53</t>
  </si>
  <si>
    <t>DEBORA DE FREITAS BRASIL - CLINICO FORTALEZA COD(15954) CRO: 15147</t>
  </si>
  <si>
    <t>076.546.213-37</t>
  </si>
  <si>
    <t>DHANIEL ANDERSON OLIMPIO BARBOSA COD(8802) CRO: 7751</t>
  </si>
  <si>
    <t>038.823.033-95</t>
  </si>
  <si>
    <t>DORNELLYS HALLAN BESSA CAVALCANTE - PAU DOS FERROS COD(8700) CRO: 4697</t>
  </si>
  <si>
    <t>096.400.164-03</t>
  </si>
  <si>
    <t>EDIMILSON SANTOS SILVA FILHO COD(15680) CRO: 5481</t>
  </si>
  <si>
    <t>742.293.625-87</t>
  </si>
  <si>
    <t>EDVANDO BALIEIRO MADURO COD(15275) CRO: 14544</t>
  </si>
  <si>
    <t>002.967.382-80</t>
  </si>
  <si>
    <t>ELAYNE ADRIANA CLEMENTINO COD(82890) CRO: 8569</t>
  </si>
  <si>
    <t>706.246.804-52</t>
  </si>
  <si>
    <t>ELISABETH PINTO BEZERRA - CLINICO FORTALEZA COD(15725) CRO: 16103</t>
  </si>
  <si>
    <t>033.206.753-03</t>
  </si>
  <si>
    <t>ELISIO SOUSA DOS SANTOS JUNIOR COD(15276) CRO: 14546</t>
  </si>
  <si>
    <t>011.977.632-44</t>
  </si>
  <si>
    <t>EMESON SOARES ALEXANDRE - CLINICO FORTALEZA COD(82978) CRO: 18090</t>
  </si>
  <si>
    <t>074.420.963-36</t>
  </si>
  <si>
    <t>FELIPE BRAGA SOBRAL COD(9422) CRO: 6981</t>
  </si>
  <si>
    <t>028.047.823-28</t>
  </si>
  <si>
    <t>FERNANDA PINTO MARQUES - PF COD(15917) CRO: 14740</t>
  </si>
  <si>
    <t>072.809.943-85</t>
  </si>
  <si>
    <t>FLAVIA FURTADO PARENTE RAFAEL - ITAPIPOCA COD(15952) CRO: 2949</t>
  </si>
  <si>
    <t>437.413.553-72</t>
  </si>
  <si>
    <t>FRANCISCO ARAUJO COSTA FILHO - CLINICO SOBRAL COD(8104) CRO: 8098</t>
  </si>
  <si>
    <t>014.732.273-13</t>
  </si>
  <si>
    <t>FRANCISCO YURI DE SOUSA AZEVEDO - CLINICO FORTALEZA COD(82872) CRO: 17285</t>
  </si>
  <si>
    <t>076.247.883-73</t>
  </si>
  <si>
    <t>GABRIELLE MARIA DO NASCIMENTO DANTAS - DIAGNOSTICO CLINICO FORTALEZA COD(14052) CRO: 12769</t>
  </si>
  <si>
    <t>068.020.823-22</t>
  </si>
  <si>
    <t>GABRIELLE OLIVEIRA ANJOS - CLINICO FORTALEZA COD(15022) CRO: 13581</t>
  </si>
  <si>
    <t>073.447.693-01</t>
  </si>
  <si>
    <t>GABRIELLE OLIVEIRA ANJOS - DIAGNOSTICO CLINICO FORTALEZA COD(15255) CRO: 13581</t>
  </si>
  <si>
    <t>GEORGIA COSME MINEIRO - DIAGNOSTICO CLINICO FORTALEZA COD(9223) CRO: 10381</t>
  </si>
  <si>
    <t>036.499.773-70</t>
  </si>
  <si>
    <t>GEOVANNA MARTINS DE OLIVEIRA - SUBSTITUTO CLINICO FORTALEZA COD(15247) CRO: 12792</t>
  </si>
  <si>
    <t>612.420.183-60</t>
  </si>
  <si>
    <t>GIANA ALVES DE LIMA COD(9059) CRO: 2812</t>
  </si>
  <si>
    <t>380.479.004-63</t>
  </si>
  <si>
    <t>GISELY COSTA GIANCIPOLI - SUBSTITUTO CLINICO FORTALEZA COD(82967) CRO: 12598</t>
  </si>
  <si>
    <t>075.992.603-40</t>
  </si>
  <si>
    <t>HANNAH MAGALHAES EHBRECHT COD(82944) CRO: 11235</t>
  </si>
  <si>
    <t>062.852.313-03</t>
  </si>
  <si>
    <t>HAROLDO VALE DE BRITO COD(9841) CRO: 2642</t>
  </si>
  <si>
    <t>304.902.352-04</t>
  </si>
  <si>
    <t>HISLANA XAVIER BARRETO LIMA - CLINICO SOBRAL COD(14954) CRO: 13573</t>
  </si>
  <si>
    <t>062.596.743-76</t>
  </si>
  <si>
    <t>ITHAMARA ANISLANY BEZERRA DA SILVA COD(16016) CRO: 8215</t>
  </si>
  <si>
    <t>079.610.314-30</t>
  </si>
  <si>
    <t>JESSIKELLY ALVES DA SILVA COD(15337) CRO: 14464</t>
  </si>
  <si>
    <t>604.091.313-42</t>
  </si>
  <si>
    <t>JOANA LARISSA LIMA SENA - LIMOEIRO DO NORTE COD(15878) CRO: 10847</t>
  </si>
  <si>
    <t>063.183.363-38</t>
  </si>
  <si>
    <t>JOAO EDUARDO PORTUGAL CRUZ COD(82903) CRO: 17198</t>
  </si>
  <si>
    <t>076.391.434-70</t>
  </si>
  <si>
    <t>PAGSEGURO INTERNET S.A (290)</t>
  </si>
  <si>
    <t>JOAO GUSTAVO SILVA TAVARES COD(82961) CRO: 15875</t>
  </si>
  <si>
    <t>052.981.783-75</t>
  </si>
  <si>
    <t>JOAO PEDRO MARQUES MARTINS COD(15262) CRO: 13272</t>
  </si>
  <si>
    <t>040.964.843-42</t>
  </si>
  <si>
    <t>JOSE OSVALDO ANGELIM JUNIOR COD(82807) CRO: 5160</t>
  </si>
  <si>
    <t>642.307.083-00</t>
  </si>
  <si>
    <t>JOSE RIBAMAR MONTEIRO JUNIOR COD(8324) CRO: 2818</t>
  </si>
  <si>
    <t>RPA EXTERNO TETO INSS - ITAU</t>
  </si>
  <si>
    <t>320.054.153-91</t>
  </si>
  <si>
    <t>JULIA VIANA LOPES DE PAULA COD(15346) CRO: 10361</t>
  </si>
  <si>
    <t>067.805.593-93</t>
  </si>
  <si>
    <t>JULIANA GALVAO BARROS COD(15333) CRO: 14637</t>
  </si>
  <si>
    <t>062.666.793-37</t>
  </si>
  <si>
    <t>LAIANE LUCENA SAMPAIO COD(9204) CRO: 9385</t>
  </si>
  <si>
    <t>035.811.263-03</t>
  </si>
  <si>
    <t>LAIS DA SILVA ABREU - SUBSTITUTO CLINICO FORTALEZA COD(82815) CRO: 17366</t>
  </si>
  <si>
    <t>080.958.443-30</t>
  </si>
  <si>
    <t>LAUDYENE ALVES MARTINS - SUBSTITUTO CLINICO FORTALEZA COD(82958) CRO: 15377</t>
  </si>
  <si>
    <t>045.292.423-58</t>
  </si>
  <si>
    <t>LEILA MARIA LUDUVINO RAMALHO DA SILVA - CLINICO FORTALEZA COD(82871) CRO: 16250</t>
  </si>
  <si>
    <t>649.123.293-04</t>
  </si>
  <si>
    <t>LETICIA FERREIRA DE CASTRO - CLINICO FORTALEZA COD(15767) CRO: 15998</t>
  </si>
  <si>
    <t>084.429.043-28</t>
  </si>
  <si>
    <t>LETICIA FERREIRA DE CASTRO - DIAGNOSTICO CLINICO FORTALEZA COD(82873) CRO: 15998</t>
  </si>
  <si>
    <t>LINDA JESSICA MOTA XAVIER COD(15505) CRO: 15223</t>
  </si>
  <si>
    <t>063.932.653-61</t>
  </si>
  <si>
    <t>LOREN SOARES PEREZ GOMES - DIAGNOSTICO CLINICO FORTALEZA COD(9399) CRO: 10714</t>
  </si>
  <si>
    <t>036.495.323-36</t>
  </si>
  <si>
    <t>LUCAS DE ALMEIDA MARQUES - CLINICO FORTALEZA COD(82899) CRO: 17562</t>
  </si>
  <si>
    <t>033.306.123-39</t>
  </si>
  <si>
    <t>LUCIANA DENISOVAS DE SOUZA - CLINICO FORTALEZA COD(15487) CRO: 15151</t>
  </si>
  <si>
    <t>611.287.763-59</t>
  </si>
  <si>
    <t>LUCIANA DENISOVAS DE SOUZA - DIAGNOSTICO CLINICO FORTALEZA COD(15661) CRO: 15151</t>
  </si>
  <si>
    <t>LUZIA RAYANE GOMES DE LIMA - SUBSTITUTO CLINICO FORTALEZA COD(82972) CRO: 16735</t>
  </si>
  <si>
    <t>072.339.033-95</t>
  </si>
  <si>
    <t>MANUEL SERGIO FARIAS FILHO COD(9660) CRO: 10769</t>
  </si>
  <si>
    <t>020.927.093-48</t>
  </si>
  <si>
    <t>MARCELA RAIANNY DA SILVA FERREIRA COD(15533) CRO: 11460</t>
  </si>
  <si>
    <t>603.235.413-05</t>
  </si>
  <si>
    <t>MARCIO AGUIAR ALBUQUERQUE COD(9248) CRO: 5243</t>
  </si>
  <si>
    <t>731.812.263-00</t>
  </si>
  <si>
    <t>MARIA CHERLANE FERREIRA APOLONIO COD(9834) CRO: 7128</t>
  </si>
  <si>
    <t>027.083.633-01</t>
  </si>
  <si>
    <t>MARIA FABIANNE DE VASCONCELOS NOGUEIRA - CLINICO FORTALEZA COD(82766) CRO: 16526</t>
  </si>
  <si>
    <t>074.844.173-51</t>
  </si>
  <si>
    <t>MARIA LAIZ MOREIRA DE SOUZA COD(7718) CRO: 7988</t>
  </si>
  <si>
    <t>022.634.213-19</t>
  </si>
  <si>
    <t>MARIANA MACIEL VENTURA CAVALCANTE - CLINICO FORTALEZA COD(15342) CRO: 14710</t>
  </si>
  <si>
    <t>076.898.063-17</t>
  </si>
  <si>
    <t>BANCO C6 S.A (336)</t>
  </si>
  <si>
    <t>MARINA CONRADO FACANHA - SUBSTITUTO CLINICO FORTALEZA COD(83001) CRO: 17745</t>
  </si>
  <si>
    <t>060.787.983-16</t>
  </si>
  <si>
    <t>MATHEUS DE SOUSA AGUIAR - CLINICO FORTALEZA COD(82898) CRO: 17232</t>
  </si>
  <si>
    <t>063.512.863-28</t>
  </si>
  <si>
    <t>MATHEUS MARQUES DOS SANTOS COD(8299) CRO: 7769</t>
  </si>
  <si>
    <t>026.988.053-40</t>
  </si>
  <si>
    <t>MAXIMILIANO REGIS FERREIRA VITORINO COD(9151) CRO: 7716</t>
  </si>
  <si>
    <t>920.300.093-34</t>
  </si>
  <si>
    <t>MAYARA LIMA CAMERINO - CLINICO SOBRAL COD(82811) CRO: 15627</t>
  </si>
  <si>
    <t>080.457.793-57</t>
  </si>
  <si>
    <t>MICARLA MELO DA SILVA COD(82840) CRO: 5838</t>
  </si>
  <si>
    <t>018.332.834-57</t>
  </si>
  <si>
    <t>MICHELLY TEIXEIRA DE FREITAS - CLINICO FORTALEZA COD(14740) CRO: 10971</t>
  </si>
  <si>
    <t>047.859.043-13</t>
  </si>
  <si>
    <t>MOEMA MOREIRA BRAGA MOTA - CRED MARANGUAPE COD(10093) CRO: 4928</t>
  </si>
  <si>
    <t>513.165.953-15</t>
  </si>
  <si>
    <t>NELSIMAR BEZERRA SANTOS SILVA - CRED COD(2814) CRO: 2814</t>
  </si>
  <si>
    <t>357.712.243-91</t>
  </si>
  <si>
    <t>NEYLA LIMA CESAR QUEIROZ COD(15536) CRO: 13424</t>
  </si>
  <si>
    <t>048.469.693-98</t>
  </si>
  <si>
    <t>NICOLI DANIELLI MACEDO RODRIGUES DE SOUZA COD(8902) CRO: 8219</t>
  </si>
  <si>
    <t>509.129.842-87</t>
  </si>
  <si>
    <t>OTACILIO DOS SANTOS SOBRINHO COD(8790) CRO: 5118</t>
  </si>
  <si>
    <t>887.756.403-25</t>
  </si>
  <si>
    <t>RAFAEL FREDERICO VALE DE OLIVEIRA RODRIGUES COD(16003) CRO: 5400</t>
  </si>
  <si>
    <t>098.843.424-58</t>
  </si>
  <si>
    <t>RAUNY PAIVA DA ROCHA COD(82847) CRO: 8811</t>
  </si>
  <si>
    <t>054.835.393-03</t>
  </si>
  <si>
    <t>REBECA COELHO CARVALHO - CLINICO SOBRAL COD(15910) CRO: 16790</t>
  </si>
  <si>
    <t>046.550.303-99</t>
  </si>
  <si>
    <t>RICARDO FEIJAO DE SOUSA COD(9811) CRO: 3807</t>
  </si>
  <si>
    <t>544.516.473-04</t>
  </si>
  <si>
    <t>RITA EVELYN RIBEIRO FLORENCIO COD(16000) CRO: 001908</t>
  </si>
  <si>
    <t>017.223.572-31</t>
  </si>
  <si>
    <t>RIVANA JESSICA FARIAS DE PAULO - CLINICO SOBRAL COD(15911) CRO: 16445</t>
  </si>
  <si>
    <t>064.187.793-55</t>
  </si>
  <si>
    <t>ROBERTA GALVINO MOREIRA - CLINICO FORTALEZA COD(15833) CRO: 14770</t>
  </si>
  <si>
    <t>076.465.023-83</t>
  </si>
  <si>
    <t>ROBERTA SAMILA DA COSTA VIEIRA COD(82888) CRO: 15404</t>
  </si>
  <si>
    <t>070.863.793-01</t>
  </si>
  <si>
    <t>ROSANE DE SOUSA TEIXEIRA - CL. LUIZA BEZERRA COD(14751) CRO: 11156</t>
  </si>
  <si>
    <t>062.191.003-10</t>
  </si>
  <si>
    <t>ROSIMEIRE DO NASCIMENTO DANTAS DE OLIVEIRA COD(14826) CRO: 4441</t>
  </si>
  <si>
    <t>938.645.404-10</t>
  </si>
  <si>
    <t>SABRINA ELLEN ARAGAO ALCANTARA - CLINICO SOBRAL COD(15569) CRO: 15519</t>
  </si>
  <si>
    <t>036.393.433-28</t>
  </si>
  <si>
    <t>SABRINA WENDY DE SOUZA TAVARES - ODONTOMOVEL - FORTALEZA COD(9944) CRO: 12325</t>
  </si>
  <si>
    <t>RPA ODONTOMOVEL INTERNO</t>
  </si>
  <si>
    <t>609.131.323-14</t>
  </si>
  <si>
    <t>SABRYNA RAQUEL VIEIRA FERNANDES COD(9508) CRO: 10581</t>
  </si>
  <si>
    <t>048.544.493-30</t>
  </si>
  <si>
    <t>SARAH HOLANDA UCHOA CARVALHO COD(9815) CRO: 6058</t>
  </si>
  <si>
    <t>009.742.433-10</t>
  </si>
  <si>
    <t>STEPHANIE SILVA DOS SANTOS - CLINICO FORTALEZA COD(15645) CRO: 14301</t>
  </si>
  <si>
    <t>060.183.663-47</t>
  </si>
  <si>
    <t>STEPHANIE SILVA DOS SANTOS - DIAGNOSTICO CLINICO FORTALEZA COD(82848) CRO: 14301</t>
  </si>
  <si>
    <t>TAISA MARIA DOS SANTOS HONORATO - SUBSTITUTO CLINICO FORTALEZA COD(82951) CRO: 17263</t>
  </si>
  <si>
    <t>068.291.793-19</t>
  </si>
  <si>
    <t>THAIS CAROLINA COSTA BARRETO SA - CLINICO FORTALEZA COD(8075) CRO: 5432</t>
  </si>
  <si>
    <t>215.718.918-11</t>
  </si>
  <si>
    <t>THAYS OLIVEIRA SANTIAGO - DIAGNOSTICO CLINICO FORTALEZA COD(15735) CRO: 14760</t>
  </si>
  <si>
    <t>072.049.833-35</t>
  </si>
  <si>
    <t>THIAGO VASCONCELOS MELO COD(82808) CRO: 13482</t>
  </si>
  <si>
    <t>617.372.713-70</t>
  </si>
  <si>
    <t>VANDA MARIA SILVA FREIRE - CLINICO FORTALEZA COD(82931) CRO: 17287</t>
  </si>
  <si>
    <t>049.360.443-00</t>
  </si>
  <si>
    <t>VIVIANE EVILINN ALMEIDA - SUBSTITUTO CLINICO FORTALEZA COD(82816) CRO: 16937</t>
  </si>
  <si>
    <t>019.619.603-54</t>
  </si>
  <si>
    <t>VLADIA COSTA CASTRO E SILVA - CRED FORTALEZA COD(3772) CRO: 3772</t>
  </si>
  <si>
    <t>705.530.923-91</t>
  </si>
  <si>
    <t>WELLYSON MARTINS - CLINICO FORTALEZA COD(14016) CRO: 12763</t>
  </si>
  <si>
    <t>028.151.723-13</t>
  </si>
  <si>
    <t>WEVERTON LUCAS SILVA LIMA - CLINICO FORTALEZA COD(15357) CRO: 15049</t>
  </si>
  <si>
    <t>071.690.763-14</t>
  </si>
  <si>
    <t>WEVERTON LUCAS SILVA LIMA - DIAGNOSTICO CLINICO FORTALEZA COD(15598) CRO: 15049</t>
  </si>
  <si>
    <t>WILLIAM SOUSA ARAGÃO COD(82790) CRO: 12579</t>
  </si>
  <si>
    <t>073.062.973-25</t>
  </si>
  <si>
    <t>ZEDEQUIAS WILLAMES SALES DE LIMA COD(15088) CRO: 13012</t>
  </si>
  <si>
    <t>669.730.153-87</t>
  </si>
  <si>
    <t>A &amp; A SERVICOS ODONTOLOGICOS LTDA</t>
  </si>
  <si>
    <t>NF EXTERNO SIMPLES C/ ISS - 2,66% - ITAU</t>
  </si>
  <si>
    <t>PJ</t>
  </si>
  <si>
    <t>46.563.571/0001-35</t>
  </si>
  <si>
    <t>A &amp; L CLINICA LTDA</t>
  </si>
  <si>
    <t>NF EXTERNO SIMPLES C/ ISS - 2,00%-ITAU</t>
  </si>
  <si>
    <t>45.348.494/0001-38</t>
  </si>
  <si>
    <t>A J CLINICA ODONTOLOGICA E MEDICA LTDA</t>
  </si>
  <si>
    <t>NF EXTERNO SIMPLES C/ ISS - 3,74%-BANCO DO BRASIL</t>
  </si>
  <si>
    <t>29.577.859/0001-40</t>
  </si>
  <si>
    <t>A M CLINICA ODONTOLOGICA LTDA</t>
  </si>
  <si>
    <t>NF EXTERNO SIMPLES SEM ISS - 2,00%-ITAU</t>
  </si>
  <si>
    <t>55.834.990/0001-55</t>
  </si>
  <si>
    <t>ADRIELLE KESSIA RIBEIRO DA SILVA - DENTAL ART - PJ COD(15969) CRO: 12721</t>
  </si>
  <si>
    <t>58.066.271/0001-20</t>
  </si>
  <si>
    <t>AIANA R BARBOSA</t>
  </si>
  <si>
    <t>NF EXTERNO SIMPLES SEM ISS - 2,00%-BANCO DO BRASIL</t>
  </si>
  <si>
    <t>33.072.253/0001-20</t>
  </si>
  <si>
    <t>AJJ SERVICOS ODONTOLOGICOS E ESTETICOS LTDA</t>
  </si>
  <si>
    <t>NF EXTERNO SIMPLES C/ ISS - 2,17%-ITAU</t>
  </si>
  <si>
    <t>65.093.958/0001-10</t>
  </si>
  <si>
    <t>BANCO COOPERATIVO SICREDI S.A. - BANSICREDI (748)</t>
  </si>
  <si>
    <t>ANA CINTIA PERDIGAO MOREIRA ARAUJO</t>
  </si>
  <si>
    <t>56.387.578/0001-05</t>
  </si>
  <si>
    <t>ANTONIO ARAUJO COSTA NETO - ENDODONTIA CLINICO FORTALEZA COD(4524) CRO: 4524</t>
  </si>
  <si>
    <t>NF INTERNO CLINICO SIMPLES C/ ISS - 2,01%</t>
  </si>
  <si>
    <t>52.780.748/0001-58</t>
  </si>
  <si>
    <t>BEM ESTAR - CENTRO MEDICO E ODONTOLOGICO LTDA</t>
  </si>
  <si>
    <t>NF EXTERNO SIMPLES C/ ISS - 3,42%-ITAU</t>
  </si>
  <si>
    <t>23.706.590/0001-78</t>
  </si>
  <si>
    <t>BRASIL BASTOS ODONTOLOGIA LTDA</t>
  </si>
  <si>
    <t>39.591.061/0001-06</t>
  </si>
  <si>
    <t>BANCO COOPERATIVO DO BRASIL S.A - BANCOOB/SICOOB (756)</t>
  </si>
  <si>
    <t>BRUNA K M CARNEIRO ODONTO MEDICO ME</t>
  </si>
  <si>
    <t>NF EXTERNO SIMPLES C/ ISS - 2,84%-ITAU</t>
  </si>
  <si>
    <t>22.622.817/0001-34</t>
  </si>
  <si>
    <t>CAROLINA BEZERRA VIEIRA COD(82892) CRO: 7012</t>
  </si>
  <si>
    <t>29.985.756/0001-19</t>
  </si>
  <si>
    <t>BANCO DO NORDESTE DO BRASIL S.A. (004)</t>
  </si>
  <si>
    <t>CENTRO CLINICO E ODONTOLOGICO C. AMORIM LTDA</t>
  </si>
  <si>
    <t>46.339.226/0001-12</t>
  </si>
  <si>
    <t>CEOP - ODONTOLOGIA LTDA - PACAJUS</t>
  </si>
  <si>
    <t>30.591.725/0001-62</t>
  </si>
  <si>
    <t>CHECK-UP CENTRO DE ODONTOLOGIA E SA</t>
  </si>
  <si>
    <t>18.516.273/0001-59</t>
  </si>
  <si>
    <t>CLINICA 7 SORRISO ODONTOLOGIA ESTETICA SAUDE E SERVICOS LTDA</t>
  </si>
  <si>
    <t>52.714.874/0001-04</t>
  </si>
  <si>
    <t>CLINICA DE REABILITACAO ORO FACIAL LTDA</t>
  </si>
  <si>
    <t>NF EXTERNO SIMPLES C/ ISS - 2,00%-BANCO DO BRASIL</t>
  </si>
  <si>
    <t>11.744.398/0001-97</t>
  </si>
  <si>
    <t>CLINICA DE SAUDE INTEGRADA LUIZA MOREIRA LTDA</t>
  </si>
  <si>
    <t>NF EXTERNO SEM ISS - BANCO DO BRASIL</t>
  </si>
  <si>
    <t>08.377.967/0001-07</t>
  </si>
  <si>
    <t>CLINICA IDEARODONTOLOGIA LTDA</t>
  </si>
  <si>
    <t>58.032.448/0001-77</t>
  </si>
  <si>
    <t>CLINICA MEDICA DR BRASIL PARAIPABA LTDA</t>
  </si>
  <si>
    <t>18.382.433/0001-14</t>
  </si>
  <si>
    <t>CLINICA ODONTO ORPAM LTDA</t>
  </si>
  <si>
    <t>57.879.593/0001-25</t>
  </si>
  <si>
    <t>CLÍNICA ODONTOLOGIA DR ANDRE FORTUNA</t>
  </si>
  <si>
    <t>62.023.889/0001-80</t>
  </si>
  <si>
    <t>CLINICA ODONTOLOGIA ORALFACE LTDA</t>
  </si>
  <si>
    <t>47.154.163/0001-92</t>
  </si>
  <si>
    <t>CLINICA ODONTOLOGICA DRA ANDREZA FERREIRA LTDA</t>
  </si>
  <si>
    <t>45.588.717/0001-34</t>
  </si>
  <si>
    <t>CLINICA ODONTOLOGICA LIMA CAROLINO LTDA</t>
  </si>
  <si>
    <t>25.033.225/0001-75</t>
  </si>
  <si>
    <t>CLINICA ODONTOLOGICA MOREIRA E ARAUJO - EPP</t>
  </si>
  <si>
    <t>06.193.047/0001-03</t>
  </si>
  <si>
    <t>CLINICA ODONTOLOGICA ODONTOPERFIL</t>
  </si>
  <si>
    <t>NF EXTERNO SIMPLES C/ ISS - 2,17%-BANCO DO BRASIL</t>
  </si>
  <si>
    <t>09.076.817/0001-18</t>
  </si>
  <si>
    <t>CLINICA ODONTOLOGICA STYLLO LTDA</t>
  </si>
  <si>
    <t>54.861.777/0001-70</t>
  </si>
  <si>
    <t>CLINICA ODONTOLOGICA THAIS FREIRE LTDA</t>
  </si>
  <si>
    <t>45.081.123/0001-32</t>
  </si>
  <si>
    <t>CLINICA ODONTOLOGICA VEM SORRIR</t>
  </si>
  <si>
    <t>44.876.947/0001-36</t>
  </si>
  <si>
    <t>STONE PAGAMENTOS S.A (197)</t>
  </si>
  <si>
    <t>COMPANHIA DO SORRISO SAUDE LTDA</t>
  </si>
  <si>
    <t>NF EXTERNO SIMPLES C/ ISS - 2,01%-BANCO DO BRASIL</t>
  </si>
  <si>
    <t>27.830.303/0001-98</t>
  </si>
  <si>
    <t>CONSULTORIO DRA ELIZABETE MARQUES</t>
  </si>
  <si>
    <t>52.981.582/0001-38</t>
  </si>
  <si>
    <t>CONSULTORIO DRA LIVIA VIANA LTDA</t>
  </si>
  <si>
    <t>50.105.012/0001-59</t>
  </si>
  <si>
    <t>CONSULTÓRIO DRA LIVIA VIANA LTDA</t>
  </si>
  <si>
    <t>50.105.012/0002-30</t>
  </si>
  <si>
    <t>CONSULTÓRIO ODONTOLÓGICO SORRIA SEMPRE EIRELI-ME</t>
  </si>
  <si>
    <t>NF EXTERNO SIMPLES C/ ISS - 2,65%-ITAU</t>
  </si>
  <si>
    <t>22.397.146/0001-55</t>
  </si>
  <si>
    <t>CUIDARE ODONTOLOGIA ESPECIALIZADA LTDA</t>
  </si>
  <si>
    <t>50.454.811/0001-30</t>
  </si>
  <si>
    <t>DANIEL BERGER GARCES MOURA DA CRUZ MACEDO ME</t>
  </si>
  <si>
    <t>NF EXTERNO SEM ISS - ITAU</t>
  </si>
  <si>
    <t>36.293.329/0001-35</t>
  </si>
  <si>
    <t>DANTAS &amp; SOBRINHOS LTDA</t>
  </si>
  <si>
    <t>35.837.803/0001-80</t>
  </si>
  <si>
    <t>DENTAL CONCEPT CLINICAS ODONTOLOGICAS LTDA</t>
  </si>
  <si>
    <t>50.856.209/0001-20</t>
  </si>
  <si>
    <t>DENTALIS ODONTO SERV LTDA</t>
  </si>
  <si>
    <t>41.188.593/0001-49</t>
  </si>
  <si>
    <t>DRA LUCIANA LIMA NOGUEIRA ODONTOLOGIA</t>
  </si>
  <si>
    <t>48.025.022/0001-32</t>
  </si>
  <si>
    <t>EC ODONTOLOGIA ESPECIALIZADA LTDA</t>
  </si>
  <si>
    <t>26.857.134/0001-17</t>
  </si>
  <si>
    <t>EMANUELE VASCONCELOS SILVA ME</t>
  </si>
  <si>
    <t>09.381.231/0001-67</t>
  </si>
  <si>
    <t>ESPACO REVITTALIZE LTDA</t>
  </si>
  <si>
    <t>54.155.810/0001-46</t>
  </si>
  <si>
    <t>CORA SOCIEDADE DE CREDITO DIRETO S.A (403)</t>
  </si>
  <si>
    <t>F A SILVA SERVICOS DE SAUDE LTDA</t>
  </si>
  <si>
    <t>09.355.755/0001-83</t>
  </si>
  <si>
    <t>F L PARENTE VIANA-ME</t>
  </si>
  <si>
    <t>21.430.051/0001-23</t>
  </si>
  <si>
    <t>F. C. M. DE OLIVEIRA &amp; CIA LTDA</t>
  </si>
  <si>
    <t>59.520.764/0001-50</t>
  </si>
  <si>
    <t>F.T.P. VICTOR LTDA</t>
  </si>
  <si>
    <t>NF EXTERNO SIMPLES C/ ISS - 2,01%-ITAU</t>
  </si>
  <si>
    <t>42.586.010/0001-09</t>
  </si>
  <si>
    <t>FRANCISCO WELLINGTON ALMEIDA DO NASCIMENTO - ME</t>
  </si>
  <si>
    <t>18.898.980/0001-57</t>
  </si>
  <si>
    <t>GLAILSON SOUSA XIMENES</t>
  </si>
  <si>
    <t>59.872.196/0001-57</t>
  </si>
  <si>
    <t>GOMES VERISSIMO ODONTOLOGIA LTDA</t>
  </si>
  <si>
    <t>56.258.427/0001-49</t>
  </si>
  <si>
    <t>GRUPO SCARIZA LTDA</t>
  </si>
  <si>
    <t>59.268.448/0001-33</t>
  </si>
  <si>
    <t>H. DE M. MOREIRA NETO</t>
  </si>
  <si>
    <t>57.478.660/0001-08</t>
  </si>
  <si>
    <t>CLOUDWALK INSTITUIÇÃO DE PAGAMENTO E SERVICOS LTDA (542)</t>
  </si>
  <si>
    <t>ILANIA REIS LAURINDO</t>
  </si>
  <si>
    <t>NF EXTERNO-ITAU</t>
  </si>
  <si>
    <t>33.617.018/0001-96</t>
  </si>
  <si>
    <t>IMEDIATA ODONTOLOGIA LTDA</t>
  </si>
  <si>
    <t>61.011.861/0001-60</t>
  </si>
  <si>
    <t>IP CIRURGIA E REABILITACAO ORAL LTDA</t>
  </si>
  <si>
    <t>52.219.007/0001-00</t>
  </si>
  <si>
    <t>JADON L BARBOSA - ME</t>
  </si>
  <si>
    <t>42.108.606/0001-95</t>
  </si>
  <si>
    <t>JESSICA INGRID DE OLIVEIRA ANDRADE</t>
  </si>
  <si>
    <t>31.952.459/0001-19</t>
  </si>
  <si>
    <t>JESSICA PAXECO FRANQUINI LTDA</t>
  </si>
  <si>
    <t>46.509.680/0001-74</t>
  </si>
  <si>
    <t>JN RISUS ODONTOLOGIA LTDA</t>
  </si>
  <si>
    <t>49.234.184/0001-43</t>
  </si>
  <si>
    <t>JOEL SOUSA REABILITACAO ORAL LTDA</t>
  </si>
  <si>
    <t>38.598.301/0001-31</t>
  </si>
  <si>
    <t>JOSINO RADIOLOGIA ODONTOLOGICA LTDA</t>
  </si>
  <si>
    <t>11.165.744/0001-82</t>
  </si>
  <si>
    <t>KARLA PINHEIRO DE ALENCAR EIRELI</t>
  </si>
  <si>
    <t>32.384.108/0001-11</t>
  </si>
  <si>
    <t>L &amp; P CRISOSTOMO &amp; GALVAO ODONTOLOGIA LTDA</t>
  </si>
  <si>
    <t>10.943.212/0001-66</t>
  </si>
  <si>
    <t>L. JACINTO O. SOUSA LTDA.</t>
  </si>
  <si>
    <t>52.691.242/0001-72</t>
  </si>
  <si>
    <t>LB ODONTOLOGIA ESPECIALIZADA</t>
  </si>
  <si>
    <t>56.979.705/0001-57</t>
  </si>
  <si>
    <t>LIZIANE VASCONCELOS CARNEIRO</t>
  </si>
  <si>
    <t>47.169.882/0001-87</t>
  </si>
  <si>
    <t>LL PEREIRA ODONTOLOGIA</t>
  </si>
  <si>
    <t>24.387.848/0001-83</t>
  </si>
  <si>
    <t>LUIS CARLOS ALVES ARCANJO - ME</t>
  </si>
  <si>
    <t>22.840.903/0001-13</t>
  </si>
  <si>
    <t>M O A J AMARAL MACHADO EIRELI</t>
  </si>
  <si>
    <t>33.718.700/0001-75</t>
  </si>
  <si>
    <t>M&amp;V SERVIÇOS DE SAUDE LTDA</t>
  </si>
  <si>
    <t>NF EXTERNO-BANCO DO BRASIL</t>
  </si>
  <si>
    <t>18.758.043/0001-04</t>
  </si>
  <si>
    <t>MAIA SERVICOS DE ODONTOLOGIA LTDA</t>
  </si>
  <si>
    <t>55.116.469/0001-82</t>
  </si>
  <si>
    <t>MAIS DENTISTA CENTRO ODONTOLOGICO LTDA</t>
  </si>
  <si>
    <t>44.733.649/0001-97</t>
  </si>
  <si>
    <t>MATOS &amp; FEITOSA ODONTOLOGIA LTDA</t>
  </si>
  <si>
    <t>43.232.310/0001-44</t>
  </si>
  <si>
    <t>MATOS &amp; MATOS ODONTOLOGIA</t>
  </si>
  <si>
    <t>60.261.361/0001-13</t>
  </si>
  <si>
    <t>MERCIA CIDRACK ODONTOLOGIA LTDA</t>
  </si>
  <si>
    <t>40.371.473/0001-10</t>
  </si>
  <si>
    <t>MICHELLE GONZAGA CAVALCANTI - ME</t>
  </si>
  <si>
    <t>08.962.187/0001-16</t>
  </si>
  <si>
    <t>NAIANA VIEIRA DE OLIVEIRA PAULINO</t>
  </si>
  <si>
    <t>43.454.843/0001-70</t>
  </si>
  <si>
    <t>NAYANE VIEIRA DE SOUSA PIMENTEL COD(82788) CRO: 13580</t>
  </si>
  <si>
    <t>60.589.476/0001-31</t>
  </si>
  <si>
    <t>NUCLEO DE ATENDIMENTO ODONTOLÓGICO NATO LTDA -ME</t>
  </si>
  <si>
    <t>NF EXTERNO SIMPLES C/ ISS - 2,77%-ITAU</t>
  </si>
  <si>
    <t>07.618.011/0001-89</t>
  </si>
  <si>
    <t>ODONTO SAUDE LTDA</t>
  </si>
  <si>
    <t>54.880.227/0001-06</t>
  </si>
  <si>
    <t>ODONTOCOMPANY HORIZONTE</t>
  </si>
  <si>
    <t>42.055.427/0001-37</t>
  </si>
  <si>
    <t>ODONTOLOGIA INTEGRADA DO CEARA LTDA</t>
  </si>
  <si>
    <t>07.910.686/0001-05</t>
  </si>
  <si>
    <t>ODONTOMEDIC LTDA</t>
  </si>
  <si>
    <t>13.913.653/0001-03</t>
  </si>
  <si>
    <t>13.913.653/0002-94</t>
  </si>
  <si>
    <t>ORO CLINIC ODONTOLOGIA LTDA</t>
  </si>
  <si>
    <t>33.767.921/0001-33</t>
  </si>
  <si>
    <t>PAULO BIROLLI NETO</t>
  </si>
  <si>
    <t>31.745.744/0001-69</t>
  </si>
  <si>
    <t>PAULO EDELSON DE SOUZA COSTA</t>
  </si>
  <si>
    <t>40.074.094/0001-68</t>
  </si>
  <si>
    <t>PINHEIRO XENOFONTE SERVICOS MEDICOS LTDA-ME</t>
  </si>
  <si>
    <t>25.148.363/0001-08</t>
  </si>
  <si>
    <t>POLICLINICA DUVALLE LTDA</t>
  </si>
  <si>
    <t>34.500.725/0001-60</t>
  </si>
  <si>
    <t>RDR ODONTO SERVICOS ODONTOLOGICOS</t>
  </si>
  <si>
    <t>NF EXTERNO SIMPLES C/ ISS - 2,81%-ITAU</t>
  </si>
  <si>
    <t>29.469.777/0002-62</t>
  </si>
  <si>
    <t>RDR ODONTO SERVICOS ODONTOLOGICOS LTDA</t>
  </si>
  <si>
    <t>29.469.777/0001-81</t>
  </si>
  <si>
    <t>RISUS CLINICA ODONTOLOGICA LTDA</t>
  </si>
  <si>
    <t>10.276.763/0001-13</t>
  </si>
  <si>
    <t>RL SMILE LTDA</t>
  </si>
  <si>
    <t>58.496.881/0001-63</t>
  </si>
  <si>
    <t>ROBERIO FABIO VILARES RAMOS LANDULFO</t>
  </si>
  <si>
    <t>12.358.508/0001-45</t>
  </si>
  <si>
    <t>RUAN DOS S. CRUZ &amp; LETICYA M. OLIVEIRA LTDA</t>
  </si>
  <si>
    <t>59.030.947/0001-98</t>
  </si>
  <si>
    <t>SANTE ODONTOLOGIA ESTETICA E CIRURGIA LTDA</t>
  </si>
  <si>
    <t>12.122.390/0001-51</t>
  </si>
  <si>
    <t>SERAFIM &amp; GUEDES SERVIÇOS DE ODONTOLOGIA LTDA</t>
  </si>
  <si>
    <t>NF EXTERNO SIMPLES C/ ISS - 3,35%</t>
  </si>
  <si>
    <t>42.544.557/0001-33</t>
  </si>
  <si>
    <t>SORRIA LESTE CLINICA ODONTOLOGICA LTDA</t>
  </si>
  <si>
    <t>58.414.414/0001-47</t>
  </si>
  <si>
    <t>UNICRED COOPERATIVA (136)</t>
  </si>
  <si>
    <t>SORRIA MAIS SERVIÇOS ODONTOLOGICOS LTDA</t>
  </si>
  <si>
    <t>24.768.718/0001-90</t>
  </si>
  <si>
    <t>SPA BUCAL ODONTOLOGIA LTDA</t>
  </si>
  <si>
    <t>29.690.322/0001-91</t>
  </si>
  <si>
    <t>VIVA DENTE CLINICA ODONTOLÓGICA LTDA</t>
  </si>
  <si>
    <t>NF EXTERNO SIMPLES C/ ISS - 2,67%-ITAU</t>
  </si>
  <si>
    <t>11.420.898/0001-73</t>
  </si>
  <si>
    <t>WR ODONTO LTDA</t>
  </si>
  <si>
    <t>48.700.356/0001-64</t>
  </si>
  <si>
    <t>YURI JIVAGO PEREIRA CARVALHO SERVIÇOS DE SAUDE</t>
  </si>
  <si>
    <t>36.502.964/0001-85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</si>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</sst>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yyyy"/>
    <numFmt numFmtId="165" formatCode="&quot;R$&quot; #,##0.00"/>
    <numFmt numFmtId="166" formatCode="dd/mm/yyyy"/>
  </numFmts>
  <fonts count="5" x14ac:knownFonts="1">
    <font>
      <color theme="1"/>
      <family val="2"/>
      <scheme val="minor"/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48"/>
  <sheetFormatPr defaultRowHeight="15" outlineLevelRow="0" outlineLevelCol="0" x14ac:dyDescent="55"/>
  <cols>
    <col min="1" max="4" width="12" customWidth="1"/>
    <col min="5" max="5" width="58" customWidth="1"/>
    <col min="6" max="6" width="42" customWidth="1"/>
    <col min="7" max="7" width="12" customWidth="1"/>
    <col min="8" max="8" width="20" customWidth="1"/>
    <col min="9" max="10" width="12" customWidth="1"/>
    <col min="11" max="17" width="12" hidden="1" customWidth="1"/>
    <col min="18" max="18" width="12" customWidth="1"/>
    <col min="19" max="20" width="12" hidden="1" customWidth="1"/>
    <col min="21" max="30" width="12" customWidth="1"/>
    <col min="31" max="31" width="34" customWidth="1"/>
    <col min="32" max="32" width="12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32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9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 spans="1:32" x14ac:dyDescent="0.25">
      <c r="A4" s="5">
        <v>46108</v>
      </c>
      <c r="B4" s="5">
        <v>46108</v>
      </c>
      <c r="C4" s="5">
        <v>3316</v>
      </c>
      <c r="D4">
        <v>48199</v>
      </c>
      <c r="E4" t="s">
        <v>33</v>
      </c>
      <c r="F4" t="s">
        <v>34</v>
      </c>
      <c r="G4" t="s">
        <v>35</v>
      </c>
      <c r="H4" t="s">
        <v>36</v>
      </c>
      <c r="I4" s="6">
        <v>881.45</v>
      </c>
      <c r="J4" s="6">
        <v>1351.36</v>
      </c>
      <c r="K4" s="6">
        <v>0</v>
      </c>
      <c r="L4" s="6"/>
      <c r="M4" s="6"/>
      <c r="N4" s="6"/>
      <c r="O4" s="6"/>
      <c r="P4" s="6"/>
      <c r="Q4" s="6"/>
      <c r="R4" s="6">
        <v>2232.81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147.37</v>
      </c>
      <c r="Y4" s="6">
        <v>44.66</v>
      </c>
      <c r="Z4" s="6">
        <v>0</v>
      </c>
      <c r="AA4" s="6">
        <v>2040.78</v>
      </c>
      <c r="AB4" s="6">
        <f>R4-X4-Y4</f>
      </c>
      <c r="AC4" s="6">
        <f>U4+V4+W4</f>
      </c>
      <c r="AD4" s="7">
        <v>46112</v>
      </c>
      <c r="AE4" t="s">
        <v>37</v>
      </c>
      <c r="AF4" s="8">
        <f>R4-S4+T4-U4-V4-W4-X4-Y4-Z4-AA4</f>
      </c>
    </row>
    <row r="5" spans="1:32" x14ac:dyDescent="0.25">
      <c r="A5" s="5">
        <v>46108</v>
      </c>
      <c r="B5" s="5">
        <v>46108</v>
      </c>
      <c r="C5" s="5">
        <v>10002</v>
      </c>
      <c r="D5">
        <v>48078</v>
      </c>
      <c r="E5" t="s">
        <v>38</v>
      </c>
      <c r="F5" t="s">
        <v>39</v>
      </c>
      <c r="G5" t="s">
        <v>35</v>
      </c>
      <c r="H5" t="s">
        <v>40</v>
      </c>
      <c r="I5" s="6">
        <v>36.38</v>
      </c>
      <c r="J5" s="6">
        <v>0</v>
      </c>
      <c r="K5" s="6">
        <v>0</v>
      </c>
      <c r="L5" s="6"/>
      <c r="M5" s="6"/>
      <c r="N5" s="6"/>
      <c r="O5" s="6"/>
      <c r="P5" s="6"/>
      <c r="Q5" s="6"/>
      <c r="R5" s="6">
        <v>36.38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2.4</v>
      </c>
      <c r="Y5" s="6">
        <v>0</v>
      </c>
      <c r="Z5" s="6">
        <v>0</v>
      </c>
      <c r="AA5" s="6">
        <v>33.98</v>
      </c>
      <c r="AB5" s="6">
        <f>R5-X5-Y5</f>
      </c>
      <c r="AC5" s="6">
        <f>U5+V5+W5</f>
      </c>
      <c r="AD5" s="7">
        <v>46112</v>
      </c>
      <c r="AE5" t="s">
        <v>41</v>
      </c>
      <c r="AF5" s="8">
        <f>R5-S5+T5-U5-V5-W5-X5-Y5-Z5-AA5</f>
      </c>
    </row>
    <row r="6" spans="1:32" x14ac:dyDescent="0.25">
      <c r="A6" s="5">
        <v>46108</v>
      </c>
      <c r="B6" s="5">
        <v>46108</v>
      </c>
      <c r="C6" s="5">
        <v>14050</v>
      </c>
      <c r="D6">
        <v>48143</v>
      </c>
      <c r="E6" t="s">
        <v>42</v>
      </c>
      <c r="F6" t="s">
        <v>39</v>
      </c>
      <c r="G6" t="s">
        <v>35</v>
      </c>
      <c r="H6" t="s">
        <v>43</v>
      </c>
      <c r="I6" s="6">
        <v>2284.38</v>
      </c>
      <c r="J6" s="6">
        <v>169.64</v>
      </c>
      <c r="K6" s="6">
        <v>0</v>
      </c>
      <c r="L6" s="6"/>
      <c r="M6" s="6"/>
      <c r="N6" s="6"/>
      <c r="O6" s="6"/>
      <c r="P6" s="6"/>
      <c r="Q6" s="6"/>
      <c r="R6" s="6">
        <v>2454.02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161.97</v>
      </c>
      <c r="Y6" s="6">
        <v>0</v>
      </c>
      <c r="Z6" s="6">
        <v>0</v>
      </c>
      <c r="AA6" s="6">
        <v>2292.05</v>
      </c>
      <c r="AB6" s="6">
        <f>R6-X6-Y6</f>
      </c>
      <c r="AC6" s="6">
        <f>U6+V6+W6</f>
      </c>
      <c r="AD6" s="7">
        <v>46112</v>
      </c>
      <c r="AE6" t="s">
        <v>44</v>
      </c>
      <c r="AF6" s="8">
        <f>R6-S6+T6-U6-V6-W6-X6-Y6-Z6-AA6</f>
      </c>
    </row>
    <row r="7" spans="1:32" x14ac:dyDescent="0.25">
      <c r="A7" s="5">
        <v>46107</v>
      </c>
      <c r="B7" s="5">
        <v>46107</v>
      </c>
      <c r="C7" s="5">
        <v>15927</v>
      </c>
      <c r="D7">
        <v>48240</v>
      </c>
      <c r="E7" t="s">
        <v>45</v>
      </c>
      <c r="F7" t="s">
        <v>46</v>
      </c>
      <c r="G7" t="s">
        <v>35</v>
      </c>
      <c r="H7" t="s">
        <v>47</v>
      </c>
      <c r="I7" s="6">
        <v>1795.59</v>
      </c>
      <c r="J7" s="6">
        <v>1005.87</v>
      </c>
      <c r="K7" s="6">
        <v>0</v>
      </c>
      <c r="L7" s="6"/>
      <c r="M7" s="6"/>
      <c r="N7" s="6"/>
      <c r="O7" s="6"/>
      <c r="P7" s="6"/>
      <c r="Q7" s="6"/>
      <c r="R7" s="6">
        <v>2801.46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184.9</v>
      </c>
      <c r="Y7" s="6">
        <v>56.03</v>
      </c>
      <c r="Z7" s="6">
        <v>0</v>
      </c>
      <c r="AA7" s="6">
        <v>2560.53</v>
      </c>
      <c r="AB7" s="6">
        <f>R7-X7-Y7</f>
      </c>
      <c r="AC7" s="6">
        <f>U7+V7+W7</f>
      </c>
      <c r="AD7" s="7">
        <v>46112</v>
      </c>
      <c r="AE7" t="s">
        <v>48</v>
      </c>
      <c r="AF7" s="8">
        <f>R7-S7+T7-U7-V7-W7-X7-Y7-Z7-AA7</f>
      </c>
    </row>
    <row r="8" spans="1:32" x14ac:dyDescent="0.25">
      <c r="A8" s="5">
        <v>46107</v>
      </c>
      <c r="B8" s="5">
        <v>46107</v>
      </c>
      <c r="C8" s="5">
        <v>82879</v>
      </c>
      <c r="D8">
        <v>48241</v>
      </c>
      <c r="E8" t="s">
        <v>49</v>
      </c>
      <c r="F8" t="s">
        <v>46</v>
      </c>
      <c r="G8" t="s">
        <v>35</v>
      </c>
      <c r="H8" t="s">
        <v>50</v>
      </c>
      <c r="I8" s="6">
        <v>390.89</v>
      </c>
      <c r="J8" s="6">
        <v>352.54</v>
      </c>
      <c r="K8" s="6">
        <v>0</v>
      </c>
      <c r="L8" s="6"/>
      <c r="M8" s="6"/>
      <c r="N8" s="6"/>
      <c r="O8" s="6"/>
      <c r="P8" s="6"/>
      <c r="Q8" s="6"/>
      <c r="R8" s="6">
        <v>743.43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49.07</v>
      </c>
      <c r="Y8" s="6">
        <v>14.87</v>
      </c>
      <c r="Z8" s="6">
        <v>0</v>
      </c>
      <c r="AA8" s="6">
        <v>679.49</v>
      </c>
      <c r="AB8" s="6">
        <f>R8-X8-Y8</f>
      </c>
      <c r="AC8" s="6">
        <f>U8+V8+W8</f>
      </c>
      <c r="AD8" s="7">
        <v>46112</v>
      </c>
      <c r="AE8" t="s">
        <v>51</v>
      </c>
      <c r="AF8" s="8">
        <f>R8-S8+T8-U8-V8-W8-X8-Y8-Z8-AA8</f>
      </c>
    </row>
    <row r="9" spans="1:32" x14ac:dyDescent="0.25">
      <c r="A9" s="5">
        <v>46108</v>
      </c>
      <c r="B9" s="5">
        <v>46108</v>
      </c>
      <c r="C9" s="5">
        <v>8748</v>
      </c>
      <c r="D9">
        <v>48148</v>
      </c>
      <c r="E9" t="s">
        <v>52</v>
      </c>
      <c r="F9" t="s">
        <v>39</v>
      </c>
      <c r="G9" t="s">
        <v>35</v>
      </c>
      <c r="H9" t="s">
        <v>53</v>
      </c>
      <c r="I9" s="6">
        <v>479.71</v>
      </c>
      <c r="J9" s="6">
        <v>63.25</v>
      </c>
      <c r="K9" s="6">
        <v>0</v>
      </c>
      <c r="L9" s="6"/>
      <c r="M9" s="6"/>
      <c r="N9" s="6"/>
      <c r="O9" s="6"/>
      <c r="P9" s="6"/>
      <c r="Q9" s="6"/>
      <c r="R9" s="6">
        <v>542.96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35.84</v>
      </c>
      <c r="Y9" s="6">
        <v>0</v>
      </c>
      <c r="Z9" s="6">
        <v>0</v>
      </c>
      <c r="AA9" s="6">
        <v>507.12</v>
      </c>
      <c r="AB9" s="6">
        <f>R9-X9-Y9</f>
      </c>
      <c r="AC9" s="6">
        <f>U9+V9+W9</f>
      </c>
      <c r="AD9" s="7">
        <v>46112</v>
      </c>
      <c r="AE9" t="s">
        <v>54</v>
      </c>
      <c r="AF9" s="8">
        <f>R9-S9+T9-U9-V9-W9-X9-Y9-Z9-AA9</f>
      </c>
    </row>
    <row r="10" spans="1:32" x14ac:dyDescent="0.25">
      <c r="A10" s="5">
        <v>46108</v>
      </c>
      <c r="B10" s="5">
        <v>46108</v>
      </c>
      <c r="C10" s="5">
        <v>15267</v>
      </c>
      <c r="D10">
        <v>48205</v>
      </c>
      <c r="E10" t="s">
        <v>55</v>
      </c>
      <c r="F10" t="s">
        <v>34</v>
      </c>
      <c r="G10" t="s">
        <v>35</v>
      </c>
      <c r="H10" t="s">
        <v>56</v>
      </c>
      <c r="I10" s="6">
        <v>392.71</v>
      </c>
      <c r="J10" s="6">
        <v>662.57</v>
      </c>
      <c r="K10" s="6">
        <v>0</v>
      </c>
      <c r="L10" s="6"/>
      <c r="M10" s="6"/>
      <c r="N10" s="6"/>
      <c r="O10" s="6"/>
      <c r="P10" s="6"/>
      <c r="Q10" s="6"/>
      <c r="R10" s="6">
        <v>1055.28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69.65</v>
      </c>
      <c r="Y10" s="6">
        <v>21.11</v>
      </c>
      <c r="Z10" s="6">
        <v>0</v>
      </c>
      <c r="AA10" s="6">
        <v>964.52</v>
      </c>
      <c r="AB10" s="6">
        <f>R10-X10-Y10</f>
      </c>
      <c r="AC10" s="6">
        <f>U10+V10+W10</f>
      </c>
      <c r="AD10" s="7">
        <v>46112</v>
      </c>
      <c r="AE10" t="s">
        <v>48</v>
      </c>
      <c r="AF10" s="8">
        <f>R10-S10+T10-U10-V10-W10-X10-Y10-Z10-AA10</f>
      </c>
    </row>
    <row r="11" spans="1:32" x14ac:dyDescent="0.25">
      <c r="A11" s="5">
        <v>46107</v>
      </c>
      <c r="B11" s="5">
        <v>46107</v>
      </c>
      <c r="C11" s="5">
        <v>82984</v>
      </c>
      <c r="D11">
        <v>48276</v>
      </c>
      <c r="E11" t="s">
        <v>57</v>
      </c>
      <c r="F11" t="s">
        <v>46</v>
      </c>
      <c r="G11" t="s">
        <v>35</v>
      </c>
      <c r="H11" t="s">
        <v>58</v>
      </c>
      <c r="I11" s="6">
        <v>26.68</v>
      </c>
      <c r="J11" s="6">
        <v>44.04</v>
      </c>
      <c r="K11" s="6">
        <v>0</v>
      </c>
      <c r="L11" s="6"/>
      <c r="M11" s="6"/>
      <c r="N11" s="6"/>
      <c r="O11" s="6"/>
      <c r="P11" s="6"/>
      <c r="Q11" s="6"/>
      <c r="R11" s="6">
        <v>70.72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4.67</v>
      </c>
      <c r="Y11" s="6">
        <v>1.41</v>
      </c>
      <c r="Z11" s="6">
        <v>0</v>
      </c>
      <c r="AA11" s="6">
        <v>64.64</v>
      </c>
      <c r="AB11" s="6">
        <f>R11-X11-Y11</f>
      </c>
      <c r="AC11" s="6">
        <f>U11+V11+W11</f>
      </c>
      <c r="AD11" s="7">
        <v>46112</v>
      </c>
      <c r="AE11" t="s">
        <v>48</v>
      </c>
      <c r="AF11" s="8">
        <f>R11-S11+T11-U11-V11-W11-X11-Y11-Z11-AA11</f>
      </c>
    </row>
    <row r="12" spans="1:32" x14ac:dyDescent="0.25">
      <c r="A12" s="5">
        <v>46108</v>
      </c>
      <c r="B12" s="5">
        <v>46108</v>
      </c>
      <c r="C12" s="5">
        <v>82894</v>
      </c>
      <c r="D12">
        <v>48134</v>
      </c>
      <c r="E12" t="s">
        <v>59</v>
      </c>
      <c r="F12" t="s">
        <v>39</v>
      </c>
      <c r="G12" t="s">
        <v>35</v>
      </c>
      <c r="H12" t="s">
        <v>60</v>
      </c>
      <c r="I12" s="6">
        <v>63.11</v>
      </c>
      <c r="J12" s="6">
        <v>129.72</v>
      </c>
      <c r="K12" s="6">
        <v>0</v>
      </c>
      <c r="L12" s="6"/>
      <c r="M12" s="6"/>
      <c r="N12" s="6"/>
      <c r="O12" s="6"/>
      <c r="P12" s="6"/>
      <c r="Q12" s="6"/>
      <c r="R12" s="6">
        <v>192.83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12.73</v>
      </c>
      <c r="Y12" s="6">
        <v>0</v>
      </c>
      <c r="Z12" s="6">
        <v>0</v>
      </c>
      <c r="AA12" s="6">
        <v>180.1</v>
      </c>
      <c r="AB12" s="6">
        <f>R12-X12-Y12</f>
      </c>
      <c r="AC12" s="6">
        <f>U12+V12+W12</f>
      </c>
      <c r="AD12" s="7">
        <v>46112</v>
      </c>
      <c r="AE12" t="s">
        <v>61</v>
      </c>
      <c r="AF12" s="8">
        <f>R12-S12+T12-U12-V12-W12-X12-Y12-Z12-AA12</f>
      </c>
    </row>
    <row r="13" spans="1:32" x14ac:dyDescent="0.25">
      <c r="A13" s="5">
        <v>46107</v>
      </c>
      <c r="B13" s="5">
        <v>46107</v>
      </c>
      <c r="C13" s="5">
        <v>13514</v>
      </c>
      <c r="D13">
        <v>48277</v>
      </c>
      <c r="E13" t="s">
        <v>62</v>
      </c>
      <c r="F13" t="s">
        <v>46</v>
      </c>
      <c r="G13" t="s">
        <v>35</v>
      </c>
      <c r="H13" t="s">
        <v>63</v>
      </c>
      <c r="I13" s="6">
        <v>2780.99</v>
      </c>
      <c r="J13" s="6">
        <v>2755.53</v>
      </c>
      <c r="K13" s="6">
        <v>0</v>
      </c>
      <c r="L13" s="6"/>
      <c r="M13" s="6"/>
      <c r="N13" s="6"/>
      <c r="O13" s="6"/>
      <c r="P13" s="6"/>
      <c r="Q13" s="6"/>
      <c r="R13" s="6">
        <v>5536.52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365.41</v>
      </c>
      <c r="Y13" s="6">
        <v>110.73</v>
      </c>
      <c r="Z13" s="6">
        <v>280.82</v>
      </c>
      <c r="AA13" s="6">
        <v>4779.56</v>
      </c>
      <c r="AB13" s="6">
        <f>R13-X13-Y13</f>
      </c>
      <c r="AC13" s="6">
        <f>U13+V13+W13</f>
      </c>
      <c r="AD13" s="7">
        <v>46112</v>
      </c>
      <c r="AE13" t="s">
        <v>64</v>
      </c>
      <c r="AF13" s="8">
        <f>R13-S13+T13-U13-V13-W13-X13-Y13-Z13-AA13</f>
      </c>
    </row>
    <row r="14" spans="1:32" x14ac:dyDescent="0.25">
      <c r="A14" s="5">
        <v>46107</v>
      </c>
      <c r="B14" s="5">
        <v>46107</v>
      </c>
      <c r="C14" s="5">
        <v>7474</v>
      </c>
      <c r="D14">
        <v>48238</v>
      </c>
      <c r="E14" t="s">
        <v>65</v>
      </c>
      <c r="F14" t="s">
        <v>66</v>
      </c>
      <c r="G14" t="s">
        <v>35</v>
      </c>
      <c r="H14" t="s">
        <v>67</v>
      </c>
      <c r="I14" s="6">
        <v>22.67</v>
      </c>
      <c r="J14" s="6">
        <v>0</v>
      </c>
      <c r="K14" s="6">
        <v>0</v>
      </c>
      <c r="L14" s="6"/>
      <c r="M14" s="6"/>
      <c r="N14" s="6"/>
      <c r="O14" s="6"/>
      <c r="P14" s="6"/>
      <c r="Q14" s="6"/>
      <c r="R14" s="6">
        <v>22.67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1.5</v>
      </c>
      <c r="Y14" s="6">
        <v>0.45</v>
      </c>
      <c r="Z14" s="6">
        <v>0</v>
      </c>
      <c r="AA14" s="6">
        <v>20.72</v>
      </c>
      <c r="AB14" s="6">
        <f>R14-X14-Y14</f>
      </c>
      <c r="AC14" s="6">
        <f>U14+V14+W14</f>
      </c>
      <c r="AD14" s="7">
        <v>46112</v>
      </c>
      <c r="AE14" t="s">
        <v>68</v>
      </c>
      <c r="AF14" s="8">
        <f>R14-S14+T14-U14-V14-W14-X14-Y14-Z14-AA14</f>
      </c>
    </row>
    <row r="15" spans="1:32" x14ac:dyDescent="0.25">
      <c r="A15" s="5">
        <v>46107</v>
      </c>
      <c r="B15" s="5">
        <v>46107</v>
      </c>
      <c r="C15" s="5">
        <v>2407</v>
      </c>
      <c r="D15">
        <v>48242</v>
      </c>
      <c r="E15" t="s">
        <v>69</v>
      </c>
      <c r="F15" t="s">
        <v>66</v>
      </c>
      <c r="G15" t="s">
        <v>35</v>
      </c>
      <c r="H15" t="s">
        <v>67</v>
      </c>
      <c r="I15" s="6">
        <v>620.78</v>
      </c>
      <c r="J15" s="6">
        <v>503.2</v>
      </c>
      <c r="K15" s="6">
        <v>0</v>
      </c>
      <c r="L15" s="6"/>
      <c r="M15" s="6"/>
      <c r="N15" s="6"/>
      <c r="O15" s="6"/>
      <c r="P15" s="6"/>
      <c r="Q15" s="6"/>
      <c r="R15" s="6">
        <v>1123.98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74.18</v>
      </c>
      <c r="Y15" s="6">
        <v>22.48</v>
      </c>
      <c r="Z15" s="6">
        <v>0</v>
      </c>
      <c r="AA15" s="6">
        <v>1027.32</v>
      </c>
      <c r="AB15" s="6">
        <f>R15-X15-Y15</f>
      </c>
      <c r="AC15" s="6">
        <f>U15+V15+W15</f>
      </c>
      <c r="AD15" s="7">
        <v>46112</v>
      </c>
      <c r="AE15" t="s">
        <v>68</v>
      </c>
      <c r="AF15" s="8">
        <f>R15-S15+T15-U15-V15-W15-X15-Y15-Z15-AA15</f>
      </c>
    </row>
    <row r="16" spans="1:32" x14ac:dyDescent="0.25">
      <c r="A16" s="5">
        <v>46107</v>
      </c>
      <c r="B16" s="5">
        <v>46107</v>
      </c>
      <c r="C16" s="5">
        <v>15514</v>
      </c>
      <c r="D16">
        <v>48243</v>
      </c>
      <c r="E16" t="s">
        <v>70</v>
      </c>
      <c r="F16" t="s">
        <v>46</v>
      </c>
      <c r="G16" t="s">
        <v>35</v>
      </c>
      <c r="H16" t="s">
        <v>71</v>
      </c>
      <c r="I16" s="6">
        <v>720.88</v>
      </c>
      <c r="J16" s="6">
        <v>814.76</v>
      </c>
      <c r="K16" s="6">
        <v>0</v>
      </c>
      <c r="L16" s="6"/>
      <c r="M16" s="6"/>
      <c r="N16" s="6"/>
      <c r="O16" s="6"/>
      <c r="P16" s="6"/>
      <c r="Q16" s="6"/>
      <c r="R16" s="6">
        <v>1535.64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101.35</v>
      </c>
      <c r="Y16" s="6">
        <v>30.71</v>
      </c>
      <c r="Z16" s="6">
        <v>0</v>
      </c>
      <c r="AA16" s="6">
        <v>1403.58</v>
      </c>
      <c r="AB16" s="6">
        <f>R16-X16-Y16</f>
      </c>
      <c r="AC16" s="6">
        <f>U16+V16+W16</f>
      </c>
      <c r="AD16" s="7">
        <v>46112</v>
      </c>
      <c r="AE16" t="s">
        <v>48</v>
      </c>
      <c r="AF16" s="8">
        <f>R16-S16+T16-U16-V16-W16-X16-Y16-Z16-AA16</f>
      </c>
    </row>
    <row r="17" spans="1:32" x14ac:dyDescent="0.25">
      <c r="A17" s="5">
        <v>46108</v>
      </c>
      <c r="B17" s="5">
        <v>46108</v>
      </c>
      <c r="C17" s="5">
        <v>82880</v>
      </c>
      <c r="D17">
        <v>48099</v>
      </c>
      <c r="E17" t="s">
        <v>72</v>
      </c>
      <c r="F17" t="s">
        <v>73</v>
      </c>
      <c r="G17" t="s">
        <v>35</v>
      </c>
      <c r="H17" t="s">
        <v>74</v>
      </c>
      <c r="I17" s="6">
        <v>747.14</v>
      </c>
      <c r="J17" s="6">
        <v>0</v>
      </c>
      <c r="K17" s="6">
        <v>0</v>
      </c>
      <c r="L17" s="6"/>
      <c r="M17" s="6"/>
      <c r="N17" s="6"/>
      <c r="O17" s="6"/>
      <c r="P17" s="6"/>
      <c r="Q17" s="6"/>
      <c r="R17" s="6">
        <v>747.14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49.31</v>
      </c>
      <c r="Y17" s="6">
        <v>0</v>
      </c>
      <c r="Z17" s="6">
        <v>0</v>
      </c>
      <c r="AA17" s="6">
        <v>697.83</v>
      </c>
      <c r="AB17" s="6">
        <f>R17-X17-Y17</f>
      </c>
      <c r="AC17" s="6">
        <f>U17+V17+W17</f>
      </c>
      <c r="AD17" s="7">
        <v>46112</v>
      </c>
      <c r="AE17" t="s">
        <v>68</v>
      </c>
      <c r="AF17" s="8">
        <f>R17-S17+T17-U17-V17-W17-X17-Y17-Z17-AA17</f>
      </c>
    </row>
    <row r="18" spans="1:32" x14ac:dyDescent="0.25">
      <c r="A18" s="5">
        <v>46107</v>
      </c>
      <c r="B18" s="5">
        <v>46107</v>
      </c>
      <c r="C18" s="5">
        <v>9933</v>
      </c>
      <c r="D18">
        <v>48293</v>
      </c>
      <c r="E18" t="s">
        <v>75</v>
      </c>
      <c r="F18" t="s">
        <v>46</v>
      </c>
      <c r="G18" t="s">
        <v>35</v>
      </c>
      <c r="H18" t="s">
        <v>76</v>
      </c>
      <c r="I18" s="6">
        <v>2144.37</v>
      </c>
      <c r="J18" s="6">
        <v>829.94</v>
      </c>
      <c r="K18" s="6">
        <v>0</v>
      </c>
      <c r="L18" s="6"/>
      <c r="M18" s="6"/>
      <c r="N18" s="6"/>
      <c r="O18" s="6"/>
      <c r="P18" s="6"/>
      <c r="Q18" s="6"/>
      <c r="R18" s="6">
        <v>2974.31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196.3</v>
      </c>
      <c r="Y18" s="6">
        <v>59.49</v>
      </c>
      <c r="Z18" s="6">
        <v>0</v>
      </c>
      <c r="AA18" s="6">
        <v>2718.52</v>
      </c>
      <c r="AB18" s="6">
        <f>R18-X18-Y18</f>
      </c>
      <c r="AC18" s="6">
        <f>U18+V18+W18</f>
      </c>
      <c r="AD18" s="7">
        <v>46112</v>
      </c>
      <c r="AE18" t="s">
        <v>41</v>
      </c>
      <c r="AF18" s="8">
        <f>R18-S18+T18-U18-V18-W18-X18-Y18-Z18-AA18</f>
      </c>
    </row>
    <row r="19" spans="1:32" x14ac:dyDescent="0.25">
      <c r="A19" s="5">
        <v>46107</v>
      </c>
      <c r="B19" s="5">
        <v>46107</v>
      </c>
      <c r="C19" s="5">
        <v>15567</v>
      </c>
      <c r="D19">
        <v>48244</v>
      </c>
      <c r="E19" t="s">
        <v>77</v>
      </c>
      <c r="F19" t="s">
        <v>46</v>
      </c>
      <c r="G19" t="s">
        <v>35</v>
      </c>
      <c r="H19" t="s">
        <v>78</v>
      </c>
      <c r="I19" s="6">
        <v>179.12</v>
      </c>
      <c r="J19" s="6">
        <v>167.55</v>
      </c>
      <c r="K19" s="6">
        <v>0</v>
      </c>
      <c r="L19" s="6"/>
      <c r="M19" s="6"/>
      <c r="N19" s="6"/>
      <c r="O19" s="6"/>
      <c r="P19" s="6"/>
      <c r="Q19" s="6"/>
      <c r="R19" s="6">
        <v>346.67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22.88</v>
      </c>
      <c r="Y19" s="6">
        <v>6.93</v>
      </c>
      <c r="Z19" s="6">
        <v>0</v>
      </c>
      <c r="AA19" s="6">
        <v>316.86</v>
      </c>
      <c r="AB19" s="6">
        <f>R19-X19-Y19</f>
      </c>
      <c r="AC19" s="6">
        <f>U19+V19+W19</f>
      </c>
      <c r="AD19" s="7">
        <v>46112</v>
      </c>
      <c r="AE19" t="s">
        <v>41</v>
      </c>
      <c r="AF19" s="8">
        <f>R19-S19+T19-U19-V19-W19-X19-Y19-Z19-AA19</f>
      </c>
    </row>
    <row r="20" spans="1:32" x14ac:dyDescent="0.25">
      <c r="A20" s="5">
        <v>46108</v>
      </c>
      <c r="B20" s="5">
        <v>46108</v>
      </c>
      <c r="C20" s="5">
        <v>15455</v>
      </c>
      <c r="D20">
        <v>48133</v>
      </c>
      <c r="E20" t="s">
        <v>79</v>
      </c>
      <c r="F20" t="s">
        <v>80</v>
      </c>
      <c r="G20" t="s">
        <v>35</v>
      </c>
      <c r="H20" t="s">
        <v>81</v>
      </c>
      <c r="I20" s="6">
        <v>150</v>
      </c>
      <c r="J20" s="6">
        <v>0</v>
      </c>
      <c r="K20" s="6">
        <v>0</v>
      </c>
      <c r="L20" s="6"/>
      <c r="M20" s="6"/>
      <c r="N20" s="6"/>
      <c r="O20" s="6"/>
      <c r="P20" s="6"/>
      <c r="Q20" s="6"/>
      <c r="R20" s="6">
        <v>150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9.9</v>
      </c>
      <c r="Y20" s="6">
        <v>3</v>
      </c>
      <c r="Z20" s="6">
        <v>0</v>
      </c>
      <c r="AA20" s="6">
        <v>137.1</v>
      </c>
      <c r="AB20" s="6">
        <f>R20-X20-Y20</f>
      </c>
      <c r="AC20" s="6">
        <f>U20+V20+W20</f>
      </c>
      <c r="AD20" s="7">
        <v>46112</v>
      </c>
      <c r="AE20" t="s">
        <v>68</v>
      </c>
      <c r="AF20" s="8">
        <f>R20-S20+T20-U20-V20-W20-X20-Y20-Z20-AA20</f>
      </c>
    </row>
    <row r="21" spans="1:32" x14ac:dyDescent="0.25">
      <c r="A21" s="5">
        <v>46108</v>
      </c>
      <c r="B21" s="5">
        <v>46108</v>
      </c>
      <c r="C21" s="5">
        <v>9597</v>
      </c>
      <c r="D21">
        <v>48121</v>
      </c>
      <c r="E21" t="s">
        <v>82</v>
      </c>
      <c r="F21" t="s">
        <v>39</v>
      </c>
      <c r="G21" t="s">
        <v>35</v>
      </c>
      <c r="H21" t="s">
        <v>83</v>
      </c>
      <c r="I21" s="6">
        <v>617.93</v>
      </c>
      <c r="J21" s="6">
        <v>0</v>
      </c>
      <c r="K21" s="6">
        <v>0</v>
      </c>
      <c r="L21" s="6"/>
      <c r="M21" s="6"/>
      <c r="N21" s="6"/>
      <c r="O21" s="6"/>
      <c r="P21" s="6"/>
      <c r="Q21" s="6"/>
      <c r="R21" s="6">
        <v>617.93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40.78</v>
      </c>
      <c r="Y21" s="6">
        <v>0</v>
      </c>
      <c r="Z21" s="6">
        <v>0</v>
      </c>
      <c r="AA21" s="6">
        <v>577.15</v>
      </c>
      <c r="AB21" s="6">
        <f>R21-X21-Y21</f>
      </c>
      <c r="AC21" s="6">
        <f>U21+V21+W21</f>
      </c>
      <c r="AD21" s="7">
        <v>46112</v>
      </c>
      <c r="AE21" t="s">
        <v>41</v>
      </c>
      <c r="AF21" s="8">
        <f>R21-S21+T21-U21-V21-W21-X21-Y21-Z21-AA21</f>
      </c>
    </row>
    <row r="22" spans="1:32" x14ac:dyDescent="0.25">
      <c r="A22" s="5">
        <v>46108</v>
      </c>
      <c r="B22" s="5">
        <v>46108</v>
      </c>
      <c r="C22" s="5">
        <v>15681</v>
      </c>
      <c r="D22">
        <v>48114</v>
      </c>
      <c r="E22" t="s">
        <v>84</v>
      </c>
      <c r="F22" t="s">
        <v>39</v>
      </c>
      <c r="G22" t="s">
        <v>35</v>
      </c>
      <c r="H22" t="s">
        <v>85</v>
      </c>
      <c r="I22" s="6">
        <v>0</v>
      </c>
      <c r="J22" s="6">
        <v>58.63</v>
      </c>
      <c r="K22" s="6">
        <v>0</v>
      </c>
      <c r="L22" s="6"/>
      <c r="M22" s="6"/>
      <c r="N22" s="6"/>
      <c r="O22" s="6"/>
      <c r="P22" s="6"/>
      <c r="Q22" s="6"/>
      <c r="R22" s="6">
        <v>58.63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3.87</v>
      </c>
      <c r="Y22" s="6">
        <v>0</v>
      </c>
      <c r="Z22" s="6">
        <v>0</v>
      </c>
      <c r="AA22" s="6">
        <v>54.76</v>
      </c>
      <c r="AB22" s="6">
        <f>R22-X22-Y22</f>
      </c>
      <c r="AC22" s="6">
        <f>U22+V22+W22</f>
      </c>
      <c r="AD22" s="7">
        <v>46112</v>
      </c>
      <c r="AE22" t="s">
        <v>41</v>
      </c>
      <c r="AF22" s="8">
        <f>R22-S22+T22-U22-V22-W22-X22-Y22-Z22-AA22</f>
      </c>
    </row>
    <row r="23" spans="1:32" x14ac:dyDescent="0.25">
      <c r="A23" s="5">
        <v>46107</v>
      </c>
      <c r="B23" s="5">
        <v>46107</v>
      </c>
      <c r="C23" s="5">
        <v>15296</v>
      </c>
      <c r="D23">
        <v>48294</v>
      </c>
      <c r="E23" t="s">
        <v>86</v>
      </c>
      <c r="F23" t="s">
        <v>46</v>
      </c>
      <c r="G23" t="s">
        <v>35</v>
      </c>
      <c r="H23" t="s">
        <v>87</v>
      </c>
      <c r="I23" s="6">
        <v>1671.62</v>
      </c>
      <c r="J23" s="6">
        <v>571.42</v>
      </c>
      <c r="K23" s="6">
        <v>0</v>
      </c>
      <c r="L23" s="6"/>
      <c r="M23" s="6"/>
      <c r="N23" s="6"/>
      <c r="O23" s="6"/>
      <c r="P23" s="6"/>
      <c r="Q23" s="6"/>
      <c r="R23" s="6">
        <v>2243.04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148.04</v>
      </c>
      <c r="Y23" s="6">
        <v>44.86</v>
      </c>
      <c r="Z23" s="6">
        <v>0</v>
      </c>
      <c r="AA23" s="6">
        <v>2050.14</v>
      </c>
      <c r="AB23" s="6">
        <f>R23-X23-Y23</f>
      </c>
      <c r="AC23" s="6">
        <f>U23+V23+W23</f>
      </c>
      <c r="AD23" s="7">
        <v>46112</v>
      </c>
      <c r="AE23" t="s">
        <v>48</v>
      </c>
      <c r="AF23" s="8">
        <f>R23-S23+T23-U23-V23-W23-X23-Y23-Z23-AA23</f>
      </c>
    </row>
    <row r="24" spans="1:32" x14ac:dyDescent="0.25">
      <c r="A24" s="5">
        <v>46107</v>
      </c>
      <c r="B24" s="5">
        <v>46107</v>
      </c>
      <c r="C24" s="5">
        <v>15759</v>
      </c>
      <c r="D24">
        <v>48295</v>
      </c>
      <c r="E24" t="s">
        <v>88</v>
      </c>
      <c r="F24" t="s">
        <v>46</v>
      </c>
      <c r="G24" t="s">
        <v>35</v>
      </c>
      <c r="H24" t="s">
        <v>87</v>
      </c>
      <c r="I24" s="6">
        <v>1714.3300000000002</v>
      </c>
      <c r="J24" s="6">
        <v>323.34</v>
      </c>
      <c r="K24" s="6">
        <v>0</v>
      </c>
      <c r="L24" s="6"/>
      <c r="M24" s="6"/>
      <c r="N24" s="6"/>
      <c r="O24" s="6"/>
      <c r="P24" s="6"/>
      <c r="Q24" s="6"/>
      <c r="R24" s="6">
        <v>2037.67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134.49</v>
      </c>
      <c r="Y24" s="6">
        <v>40.75</v>
      </c>
      <c r="Z24" s="6">
        <v>0</v>
      </c>
      <c r="AA24" s="6">
        <v>1862.43</v>
      </c>
      <c r="AB24" s="6">
        <f>R24-X24-Y24</f>
      </c>
      <c r="AC24" s="6">
        <f>U24+V24+W24</f>
      </c>
      <c r="AD24" s="7">
        <v>46112</v>
      </c>
      <c r="AE24" t="s">
        <v>48</v>
      </c>
      <c r="AF24" s="8">
        <f>R24-S24+T24-U24-V24-W24-X24-Y24-Z24-AA24</f>
      </c>
    </row>
    <row r="25" spans="1:32" x14ac:dyDescent="0.25">
      <c r="A25" s="5">
        <v>46108</v>
      </c>
      <c r="B25" s="5">
        <v>46108</v>
      </c>
      <c r="C25" s="5">
        <v>82777</v>
      </c>
      <c r="D25">
        <v>48116</v>
      </c>
      <c r="E25" t="s">
        <v>89</v>
      </c>
      <c r="F25" t="s">
        <v>39</v>
      </c>
      <c r="G25" t="s">
        <v>35</v>
      </c>
      <c r="H25" t="s">
        <v>90</v>
      </c>
      <c r="I25" s="6">
        <v>829.88</v>
      </c>
      <c r="J25" s="6">
        <v>655.76</v>
      </c>
      <c r="K25" s="6">
        <v>0</v>
      </c>
      <c r="L25" s="6"/>
      <c r="M25" s="6"/>
      <c r="N25" s="6"/>
      <c r="O25" s="6"/>
      <c r="P25" s="6"/>
      <c r="Q25" s="6"/>
      <c r="R25" s="6">
        <v>1485.64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98.05</v>
      </c>
      <c r="Y25" s="6">
        <v>0</v>
      </c>
      <c r="Z25" s="6">
        <v>0</v>
      </c>
      <c r="AA25" s="6">
        <v>1387.59</v>
      </c>
      <c r="AB25" s="6">
        <f>R25-X25-Y25</f>
      </c>
      <c r="AC25" s="6">
        <f>U25+V25+W25</f>
      </c>
      <c r="AD25" s="7">
        <v>46112</v>
      </c>
      <c r="AE25" t="s">
        <v>54</v>
      </c>
      <c r="AF25" s="8">
        <f>R25-S25+T25-U25-V25-W25-X25-Y25-Z25-AA25</f>
      </c>
    </row>
    <row r="26" spans="1:32" x14ac:dyDescent="0.25">
      <c r="A26" s="5">
        <v>46107</v>
      </c>
      <c r="B26" s="5">
        <v>46107</v>
      </c>
      <c r="C26" s="5">
        <v>82865</v>
      </c>
      <c r="D26">
        <v>48239</v>
      </c>
      <c r="E26" t="s">
        <v>91</v>
      </c>
      <c r="F26" t="s">
        <v>46</v>
      </c>
      <c r="G26" t="s">
        <v>35</v>
      </c>
      <c r="H26" t="s">
        <v>92</v>
      </c>
      <c r="I26" s="6">
        <v>39.59</v>
      </c>
      <c r="J26" s="6">
        <v>0</v>
      </c>
      <c r="K26" s="6">
        <v>0</v>
      </c>
      <c r="L26" s="6"/>
      <c r="M26" s="6"/>
      <c r="N26" s="6"/>
      <c r="O26" s="6"/>
      <c r="P26" s="6"/>
      <c r="Q26" s="6"/>
      <c r="R26" s="6">
        <v>39.59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2.61</v>
      </c>
      <c r="Y26" s="6">
        <v>0.79</v>
      </c>
      <c r="Z26" s="6">
        <v>0</v>
      </c>
      <c r="AA26" s="6">
        <v>36.19</v>
      </c>
      <c r="AB26" s="6">
        <f>R26-X26-Y26</f>
      </c>
      <c r="AC26" s="6">
        <f>U26+V26+W26</f>
      </c>
      <c r="AD26" s="7">
        <v>46112</v>
      </c>
      <c r="AE26" t="s">
        <v>64</v>
      </c>
      <c r="AF26" s="8">
        <f>R26-S26+T26-U26-V26-W26-X26-Y26-Z26-AA26</f>
      </c>
    </row>
    <row r="27" spans="1:32" x14ac:dyDescent="0.25">
      <c r="A27" s="5">
        <v>46107</v>
      </c>
      <c r="B27" s="5">
        <v>46107</v>
      </c>
      <c r="C27" s="5">
        <v>15732</v>
      </c>
      <c r="D27">
        <v>48246</v>
      </c>
      <c r="E27" t="s">
        <v>93</v>
      </c>
      <c r="F27" t="s">
        <v>94</v>
      </c>
      <c r="G27" t="s">
        <v>35</v>
      </c>
      <c r="H27" t="s">
        <v>92</v>
      </c>
      <c r="I27" s="6">
        <v>1520.29</v>
      </c>
      <c r="J27" s="6">
        <v>1015.39</v>
      </c>
      <c r="K27" s="6">
        <v>0</v>
      </c>
      <c r="L27" s="6"/>
      <c r="M27" s="6"/>
      <c r="N27" s="6"/>
      <c r="O27" s="6"/>
      <c r="P27" s="6"/>
      <c r="Q27" s="6"/>
      <c r="R27" s="6">
        <v>2535.68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167.35</v>
      </c>
      <c r="Y27" s="6">
        <v>0</v>
      </c>
      <c r="Z27" s="6">
        <v>0</v>
      </c>
      <c r="AA27" s="6">
        <v>2368.33</v>
      </c>
      <c r="AB27" s="6">
        <f>R27-X27-Y27</f>
      </c>
      <c r="AC27" s="6">
        <f>U27+V27+W27</f>
      </c>
      <c r="AD27" s="7">
        <v>46112</v>
      </c>
      <c r="AE27" t="s">
        <v>64</v>
      </c>
      <c r="AF27" s="8">
        <f>R27-S27+T27-U27-V27-W27-X27-Y27-Z27-AA27</f>
      </c>
    </row>
    <row r="28" spans="1:32" x14ac:dyDescent="0.25">
      <c r="A28" s="5">
        <v>46108</v>
      </c>
      <c r="B28" s="5">
        <v>46108</v>
      </c>
      <c r="C28" s="5">
        <v>15604</v>
      </c>
      <c r="D28">
        <v>48104</v>
      </c>
      <c r="E28" t="s">
        <v>95</v>
      </c>
      <c r="F28" t="s">
        <v>73</v>
      </c>
      <c r="G28" t="s">
        <v>35</v>
      </c>
      <c r="H28" t="s">
        <v>96</v>
      </c>
      <c r="I28" s="6">
        <v>188.74</v>
      </c>
      <c r="J28" s="6">
        <v>193.32</v>
      </c>
      <c r="K28" s="6">
        <v>0</v>
      </c>
      <c r="L28" s="6"/>
      <c r="M28" s="6"/>
      <c r="N28" s="6"/>
      <c r="O28" s="6"/>
      <c r="P28" s="6"/>
      <c r="Q28" s="6"/>
      <c r="R28" s="6">
        <v>382.06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25.22</v>
      </c>
      <c r="Y28" s="6">
        <v>0</v>
      </c>
      <c r="Z28" s="6">
        <v>0</v>
      </c>
      <c r="AA28" s="6">
        <v>356.84</v>
      </c>
      <c r="AB28" s="6">
        <f>R28-X28-Y28</f>
      </c>
      <c r="AC28" s="6">
        <f>U28+V28+W28</f>
      </c>
      <c r="AD28" s="7">
        <v>46112</v>
      </c>
      <c r="AE28" t="s">
        <v>44</v>
      </c>
      <c r="AF28" s="8">
        <f>R28-S28+T28-U28-V28-W28-X28-Y28-Z28-AA28</f>
      </c>
    </row>
    <row r="29" spans="1:32" x14ac:dyDescent="0.25">
      <c r="A29" s="5">
        <v>46108</v>
      </c>
      <c r="B29" s="5">
        <v>46108</v>
      </c>
      <c r="C29" s="5">
        <v>15877</v>
      </c>
      <c r="D29">
        <v>48195</v>
      </c>
      <c r="E29" t="s">
        <v>97</v>
      </c>
      <c r="F29" t="s">
        <v>39</v>
      </c>
      <c r="G29" t="s">
        <v>35</v>
      </c>
      <c r="H29" t="s">
        <v>98</v>
      </c>
      <c r="I29" s="6">
        <v>455.21</v>
      </c>
      <c r="J29" s="6">
        <v>0</v>
      </c>
      <c r="K29" s="6">
        <v>0</v>
      </c>
      <c r="L29" s="6"/>
      <c r="M29" s="6"/>
      <c r="N29" s="6"/>
      <c r="O29" s="6"/>
      <c r="P29" s="6"/>
      <c r="Q29" s="6"/>
      <c r="R29" s="6">
        <v>455.21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30.04</v>
      </c>
      <c r="Y29" s="6">
        <v>0</v>
      </c>
      <c r="Z29" s="6">
        <v>0</v>
      </c>
      <c r="AA29" s="6">
        <v>425.17</v>
      </c>
      <c r="AB29" s="6">
        <f>R29-X29-Y29</f>
      </c>
      <c r="AC29" s="6">
        <f>U29+V29+W29</f>
      </c>
      <c r="AD29" s="7">
        <v>46112</v>
      </c>
      <c r="AE29" t="s">
        <v>61</v>
      </c>
      <c r="AF29" s="8">
        <f>R29-S29+T29-U29-V29-W29-X29-Y29-Z29-AA29</f>
      </c>
    </row>
    <row r="30" spans="1:32" x14ac:dyDescent="0.25">
      <c r="A30" s="5">
        <v>46108</v>
      </c>
      <c r="B30" s="5">
        <v>46108</v>
      </c>
      <c r="C30" s="5">
        <v>9041</v>
      </c>
      <c r="D30">
        <v>48065</v>
      </c>
      <c r="E30" t="s">
        <v>99</v>
      </c>
      <c r="F30" t="s">
        <v>73</v>
      </c>
      <c r="G30" t="s">
        <v>35</v>
      </c>
      <c r="H30" t="s">
        <v>100</v>
      </c>
      <c r="I30" s="6">
        <v>31.65</v>
      </c>
      <c r="J30" s="6">
        <v>0</v>
      </c>
      <c r="K30" s="6">
        <v>0</v>
      </c>
      <c r="L30" s="6"/>
      <c r="M30" s="6"/>
      <c r="N30" s="6"/>
      <c r="O30" s="6"/>
      <c r="P30" s="6"/>
      <c r="Q30" s="6"/>
      <c r="R30" s="6">
        <v>31.65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2.09</v>
      </c>
      <c r="Y30" s="6">
        <v>0</v>
      </c>
      <c r="Z30" s="6">
        <v>0</v>
      </c>
      <c r="AA30" s="6">
        <v>29.56</v>
      </c>
      <c r="AB30" s="6">
        <f>R30-X30-Y30</f>
      </c>
      <c r="AC30" s="6">
        <f>U30+V30+W30</f>
      </c>
      <c r="AD30" s="7">
        <v>46112</v>
      </c>
      <c r="AE30" t="s">
        <v>68</v>
      </c>
      <c r="AF30" s="8">
        <f>R30-S30+T30-U30-V30-W30-X30-Y30-Z30-AA30</f>
      </c>
    </row>
    <row r="31" spans="1:32" x14ac:dyDescent="0.25">
      <c r="A31" s="5">
        <v>46108</v>
      </c>
      <c r="B31" s="5">
        <v>46108</v>
      </c>
      <c r="C31" s="5">
        <v>14672</v>
      </c>
      <c r="D31">
        <v>48063</v>
      </c>
      <c r="E31" t="s">
        <v>101</v>
      </c>
      <c r="F31" t="s">
        <v>39</v>
      </c>
      <c r="G31" t="s">
        <v>35</v>
      </c>
      <c r="H31" t="s">
        <v>102</v>
      </c>
      <c r="I31" s="6">
        <v>960</v>
      </c>
      <c r="J31" s="6">
        <v>0</v>
      </c>
      <c r="K31" s="6">
        <v>0</v>
      </c>
      <c r="L31" s="6"/>
      <c r="M31" s="6"/>
      <c r="N31" s="6"/>
      <c r="O31" s="6"/>
      <c r="P31" s="6"/>
      <c r="Q31" s="6"/>
      <c r="R31" s="6">
        <v>960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63.36</v>
      </c>
      <c r="Y31" s="6">
        <v>0</v>
      </c>
      <c r="Z31" s="6">
        <v>0</v>
      </c>
      <c r="AA31" s="6">
        <v>896.64</v>
      </c>
      <c r="AB31" s="6">
        <f>R31-X31-Y31</f>
      </c>
      <c r="AC31" s="6">
        <f>U31+V31+W31</f>
      </c>
      <c r="AD31" s="7">
        <v>46112</v>
      </c>
      <c r="AE31" t="s">
        <v>37</v>
      </c>
      <c r="AF31" s="8">
        <f>R31-S31+T31-U31-V31-W31-X31-Y31-Z31-AA31</f>
      </c>
    </row>
    <row r="32" spans="1:32" x14ac:dyDescent="0.25">
      <c r="A32" s="5">
        <v>46108</v>
      </c>
      <c r="B32" s="5">
        <v>46108</v>
      </c>
      <c r="C32" s="5">
        <v>8609</v>
      </c>
      <c r="D32">
        <v>48042</v>
      </c>
      <c r="E32" t="s">
        <v>103</v>
      </c>
      <c r="F32" t="s">
        <v>73</v>
      </c>
      <c r="G32" t="s">
        <v>35</v>
      </c>
      <c r="H32" t="s">
        <v>104</v>
      </c>
      <c r="I32" s="6">
        <v>357.25</v>
      </c>
      <c r="J32" s="6">
        <v>19.16</v>
      </c>
      <c r="K32" s="6">
        <v>0</v>
      </c>
      <c r="L32" s="6"/>
      <c r="M32" s="6"/>
      <c r="N32" s="6"/>
      <c r="O32" s="6"/>
      <c r="P32" s="6"/>
      <c r="Q32" s="6"/>
      <c r="R32" s="6">
        <v>376.41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24.84</v>
      </c>
      <c r="Y32" s="6">
        <v>0</v>
      </c>
      <c r="Z32" s="6">
        <v>0</v>
      </c>
      <c r="AA32" s="6">
        <v>351.57</v>
      </c>
      <c r="AB32" s="6">
        <f>R32-X32-Y32</f>
      </c>
      <c r="AC32" s="6">
        <f>U32+V32+W32</f>
      </c>
      <c r="AD32" s="7">
        <v>46112</v>
      </c>
      <c r="AE32" t="s">
        <v>68</v>
      </c>
      <c r="AF32" s="8">
        <f>R32-S32+T32-U32-V32-W32-X32-Y32-Z32-AA32</f>
      </c>
    </row>
    <row r="33" spans="1:32" x14ac:dyDescent="0.25">
      <c r="A33" s="5">
        <v>46108</v>
      </c>
      <c r="B33" s="5">
        <v>46108</v>
      </c>
      <c r="C33" s="5">
        <v>15785</v>
      </c>
      <c r="D33">
        <v>48066</v>
      </c>
      <c r="E33" t="s">
        <v>105</v>
      </c>
      <c r="F33" t="s">
        <v>73</v>
      </c>
      <c r="G33" t="s">
        <v>35</v>
      </c>
      <c r="H33" t="s">
        <v>106</v>
      </c>
      <c r="I33" s="6">
        <v>673.58</v>
      </c>
      <c r="J33" s="6">
        <v>0</v>
      </c>
      <c r="K33" s="6">
        <v>0</v>
      </c>
      <c r="L33" s="6"/>
      <c r="M33" s="6"/>
      <c r="N33" s="6"/>
      <c r="O33" s="6"/>
      <c r="P33" s="6"/>
      <c r="Q33" s="6"/>
      <c r="R33" s="6">
        <v>673.58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44.46</v>
      </c>
      <c r="Y33" s="6">
        <v>0</v>
      </c>
      <c r="Z33" s="6">
        <v>0</v>
      </c>
      <c r="AA33" s="6">
        <v>629.12</v>
      </c>
      <c r="AB33" s="6">
        <f>R33-X33-Y33</f>
      </c>
      <c r="AC33" s="6">
        <f>U33+V33+W33</f>
      </c>
      <c r="AD33" s="7">
        <v>46112</v>
      </c>
      <c r="AE33" t="s">
        <v>68</v>
      </c>
      <c r="AF33" s="8">
        <f>R33-S33+T33-U33-V33-W33-X33-Y33-Z33-AA33</f>
      </c>
    </row>
    <row r="34" spans="1:32" x14ac:dyDescent="0.25">
      <c r="A34" s="5">
        <v>46108</v>
      </c>
      <c r="B34" s="5">
        <v>46108</v>
      </c>
      <c r="C34" s="5">
        <v>9859</v>
      </c>
      <c r="D34">
        <v>48115</v>
      </c>
      <c r="E34" t="s">
        <v>107</v>
      </c>
      <c r="F34" t="s">
        <v>80</v>
      </c>
      <c r="G34" t="s">
        <v>35</v>
      </c>
      <c r="H34" t="s">
        <v>108</v>
      </c>
      <c r="I34" s="6">
        <v>325.67</v>
      </c>
      <c r="J34" s="6">
        <v>25.67</v>
      </c>
      <c r="K34" s="6">
        <v>0</v>
      </c>
      <c r="L34" s="6"/>
      <c r="M34" s="6"/>
      <c r="N34" s="6"/>
      <c r="O34" s="6"/>
      <c r="P34" s="6"/>
      <c r="Q34" s="6"/>
      <c r="R34" s="6">
        <v>351.34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23.19</v>
      </c>
      <c r="Y34" s="6">
        <v>7.03</v>
      </c>
      <c r="Z34" s="6">
        <v>0</v>
      </c>
      <c r="AA34" s="6">
        <v>321.12</v>
      </c>
      <c r="AB34" s="6">
        <f>R34-X34-Y34</f>
      </c>
      <c r="AC34" s="6">
        <f>U34+V34+W34</f>
      </c>
      <c r="AD34" s="7">
        <v>46112</v>
      </c>
      <c r="AE34" t="s">
        <v>68</v>
      </c>
      <c r="AF34" s="8">
        <f>R34-S34+T34-U34-V34-W34-X34-Y34-Z34-AA34</f>
      </c>
    </row>
    <row r="35" spans="1:32" x14ac:dyDescent="0.25">
      <c r="A35" s="5">
        <v>46107</v>
      </c>
      <c r="B35" s="5">
        <v>46107</v>
      </c>
      <c r="C35" s="5">
        <v>16018</v>
      </c>
      <c r="D35">
        <v>48247</v>
      </c>
      <c r="E35" t="s">
        <v>109</v>
      </c>
      <c r="F35" t="s">
        <v>46</v>
      </c>
      <c r="G35" t="s">
        <v>35</v>
      </c>
      <c r="H35" t="s">
        <v>110</v>
      </c>
      <c r="I35" s="6">
        <v>1699.4199999999998</v>
      </c>
      <c r="J35" s="6">
        <v>1539.97</v>
      </c>
      <c r="K35" s="6">
        <v>0</v>
      </c>
      <c r="L35" s="6"/>
      <c r="M35" s="6"/>
      <c r="N35" s="6"/>
      <c r="O35" s="6"/>
      <c r="P35" s="6"/>
      <c r="Q35" s="6"/>
      <c r="R35" s="6">
        <v>3239.39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213.8</v>
      </c>
      <c r="Y35" s="6">
        <v>64.79</v>
      </c>
      <c r="Z35" s="6">
        <v>0</v>
      </c>
      <c r="AA35" s="6">
        <v>2960.8</v>
      </c>
      <c r="AB35" s="6">
        <f>R35-X35-Y35</f>
      </c>
      <c r="AC35" s="6">
        <f>U35+V35+W35</f>
      </c>
      <c r="AD35" s="7">
        <v>46112</v>
      </c>
      <c r="AE35" t="s">
        <v>64</v>
      </c>
      <c r="AF35" s="8">
        <f>R35-S35+T35-U35-V35-W35-X35-Y35-Z35-AA35</f>
      </c>
    </row>
    <row r="36" spans="1:32" x14ac:dyDescent="0.25">
      <c r="A36" s="5">
        <v>46108</v>
      </c>
      <c r="B36" s="5">
        <v>46108</v>
      </c>
      <c r="C36" s="5">
        <v>14671</v>
      </c>
      <c r="D36">
        <v>48083</v>
      </c>
      <c r="E36" t="s">
        <v>111</v>
      </c>
      <c r="F36" t="s">
        <v>73</v>
      </c>
      <c r="G36" t="s">
        <v>35</v>
      </c>
      <c r="H36" t="s">
        <v>112</v>
      </c>
      <c r="I36" s="6">
        <v>7786.72</v>
      </c>
      <c r="J36" s="6">
        <v>1734.03</v>
      </c>
      <c r="K36" s="6">
        <v>0</v>
      </c>
      <c r="L36" s="6"/>
      <c r="M36" s="6"/>
      <c r="N36" s="6"/>
      <c r="O36" s="6"/>
      <c r="P36" s="6"/>
      <c r="Q36" s="6"/>
      <c r="R36" s="6">
        <v>9520.75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628.37</v>
      </c>
      <c r="Y36" s="6">
        <v>0</v>
      </c>
      <c r="Z36" s="6">
        <v>1576.04</v>
      </c>
      <c r="AA36" s="6">
        <v>7316.34</v>
      </c>
      <c r="AB36" s="6">
        <f>R36-X36-Y36</f>
      </c>
      <c r="AC36" s="6">
        <f>U36+V36+W36</f>
      </c>
      <c r="AD36" s="7">
        <v>46112</v>
      </c>
      <c r="AE36" t="s">
        <v>68</v>
      </c>
      <c r="AF36" s="8">
        <f>R36-S36+T36-U36-V36-W36-X36-Y36-Z36-AA36</f>
      </c>
    </row>
    <row r="37" spans="1:32" x14ac:dyDescent="0.25">
      <c r="A37" s="5">
        <v>46108</v>
      </c>
      <c r="B37" s="5">
        <v>46108</v>
      </c>
      <c r="C37" s="5">
        <v>8749</v>
      </c>
      <c r="D37">
        <v>48109</v>
      </c>
      <c r="E37" t="s">
        <v>113</v>
      </c>
      <c r="F37" t="s">
        <v>73</v>
      </c>
      <c r="G37" t="s">
        <v>35</v>
      </c>
      <c r="H37" t="s">
        <v>114</v>
      </c>
      <c r="I37" s="6">
        <v>3563.82</v>
      </c>
      <c r="J37" s="6">
        <v>810.15</v>
      </c>
      <c r="K37" s="6">
        <v>0</v>
      </c>
      <c r="L37" s="6"/>
      <c r="M37" s="6"/>
      <c r="N37" s="6"/>
      <c r="O37" s="6"/>
      <c r="P37" s="6"/>
      <c r="Q37" s="6"/>
      <c r="R37" s="6">
        <v>4373.97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288.68</v>
      </c>
      <c r="Y37" s="6">
        <v>0</v>
      </c>
      <c r="Z37" s="6">
        <v>0</v>
      </c>
      <c r="AA37" s="6">
        <v>4085.29</v>
      </c>
      <c r="AB37" s="6">
        <f>R37-X37-Y37</f>
      </c>
      <c r="AC37" s="6">
        <f>U37+V37+W37</f>
      </c>
      <c r="AD37" s="7">
        <v>46112</v>
      </c>
      <c r="AE37" t="s">
        <v>68</v>
      </c>
      <c r="AF37" s="8">
        <f>R37-S37+T37-U37-V37-W37-X37-Y37-Z37-AA37</f>
      </c>
    </row>
    <row r="38" spans="1:32" x14ac:dyDescent="0.25">
      <c r="A38" s="5">
        <v>46108</v>
      </c>
      <c r="B38" s="5">
        <v>46108</v>
      </c>
      <c r="C38" s="5">
        <v>2020</v>
      </c>
      <c r="D38">
        <v>48067</v>
      </c>
      <c r="E38" t="s">
        <v>115</v>
      </c>
      <c r="F38" t="s">
        <v>73</v>
      </c>
      <c r="G38" t="s">
        <v>35</v>
      </c>
      <c r="H38" t="s">
        <v>116</v>
      </c>
      <c r="I38" s="6">
        <v>3113.33</v>
      </c>
      <c r="J38" s="6">
        <v>0</v>
      </c>
      <c r="K38" s="6">
        <v>0</v>
      </c>
      <c r="L38" s="6"/>
      <c r="M38" s="6"/>
      <c r="N38" s="6"/>
      <c r="O38" s="6"/>
      <c r="P38" s="6"/>
      <c r="Q38" s="6"/>
      <c r="R38" s="6">
        <v>3113.33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205.48</v>
      </c>
      <c r="Y38" s="6">
        <v>0</v>
      </c>
      <c r="Z38" s="6">
        <v>0</v>
      </c>
      <c r="AA38" s="6">
        <v>2907.85</v>
      </c>
      <c r="AB38" s="6">
        <f>R38-X38-Y38</f>
      </c>
      <c r="AC38" s="6">
        <f>U38+V38+W38</f>
      </c>
      <c r="AD38" s="7">
        <v>46112</v>
      </c>
      <c r="AE38" t="s">
        <v>68</v>
      </c>
      <c r="AF38" s="8">
        <f>R38-S38+T38-U38-V38-W38-X38-Y38-Z38-AA38</f>
      </c>
    </row>
    <row r="39" spans="1:32" x14ac:dyDescent="0.25">
      <c r="A39" s="5">
        <v>46108</v>
      </c>
      <c r="B39" s="5">
        <v>46108</v>
      </c>
      <c r="C39" s="5">
        <v>2017</v>
      </c>
      <c r="D39">
        <v>48074</v>
      </c>
      <c r="E39" t="s">
        <v>117</v>
      </c>
      <c r="F39" t="s">
        <v>39</v>
      </c>
      <c r="G39" t="s">
        <v>35</v>
      </c>
      <c r="H39" t="s">
        <v>118</v>
      </c>
      <c r="I39" s="6">
        <v>4534.34</v>
      </c>
      <c r="J39" s="6">
        <v>259.48</v>
      </c>
      <c r="K39" s="6">
        <v>0</v>
      </c>
      <c r="L39" s="6"/>
      <c r="M39" s="6"/>
      <c r="N39" s="6"/>
      <c r="O39" s="6"/>
      <c r="P39" s="6"/>
      <c r="Q39" s="6"/>
      <c r="R39" s="6">
        <v>4793.82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316.39</v>
      </c>
      <c r="Y39" s="6">
        <v>0</v>
      </c>
      <c r="Z39" s="6">
        <v>22.49</v>
      </c>
      <c r="AA39" s="6">
        <v>4454.94</v>
      </c>
      <c r="AB39" s="6">
        <f>R39-X39-Y39</f>
      </c>
      <c r="AC39" s="6">
        <f>U39+V39+W39</f>
      </c>
      <c r="AD39" s="7">
        <v>46112</v>
      </c>
      <c r="AE39" t="s">
        <v>48</v>
      </c>
      <c r="AF39" s="8">
        <f>R39-S39+T39-U39-V39-W39-X39-Y39-Z39-AA39</f>
      </c>
    </row>
    <row r="40" spans="1:32" x14ac:dyDescent="0.25">
      <c r="A40" s="5">
        <v>46108</v>
      </c>
      <c r="B40" s="5">
        <v>46108</v>
      </c>
      <c r="C40" s="5">
        <v>8211</v>
      </c>
      <c r="D40">
        <v>48075</v>
      </c>
      <c r="E40" t="s">
        <v>119</v>
      </c>
      <c r="F40" t="s">
        <v>39</v>
      </c>
      <c r="G40" t="s">
        <v>35</v>
      </c>
      <c r="H40" t="s">
        <v>120</v>
      </c>
      <c r="I40" s="6">
        <v>699.7</v>
      </c>
      <c r="J40" s="6">
        <v>111</v>
      </c>
      <c r="K40" s="6">
        <v>0</v>
      </c>
      <c r="L40" s="6"/>
      <c r="M40" s="6"/>
      <c r="N40" s="6"/>
      <c r="O40" s="6"/>
      <c r="P40" s="6"/>
      <c r="Q40" s="6"/>
      <c r="R40" s="6">
        <v>810.7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53.51</v>
      </c>
      <c r="Y40" s="6">
        <v>0</v>
      </c>
      <c r="Z40" s="6">
        <v>0</v>
      </c>
      <c r="AA40" s="6">
        <v>757.19</v>
      </c>
      <c r="AB40" s="6">
        <f>R40-X40-Y40</f>
      </c>
      <c r="AC40" s="6">
        <f>U40+V40+W40</f>
      </c>
      <c r="AD40" s="7">
        <v>46112</v>
      </c>
      <c r="AE40" t="s">
        <v>37</v>
      </c>
      <c r="AF40" s="8">
        <f>R40-S40+T40-U40-V40-W40-X40-Y40-Z40-AA40</f>
      </c>
    </row>
    <row r="41" spans="1:32" x14ac:dyDescent="0.25">
      <c r="A41" s="5">
        <v>46107</v>
      </c>
      <c r="B41" s="5">
        <v>46107</v>
      </c>
      <c r="C41" s="5">
        <v>15954</v>
      </c>
      <c r="D41">
        <v>48279</v>
      </c>
      <c r="E41" t="s">
        <v>121</v>
      </c>
      <c r="F41" t="s">
        <v>66</v>
      </c>
      <c r="G41" t="s">
        <v>35</v>
      </c>
      <c r="H41" t="s">
        <v>122</v>
      </c>
      <c r="I41" s="6">
        <v>275.84999999999997</v>
      </c>
      <c r="J41" s="6">
        <v>150.68</v>
      </c>
      <c r="K41" s="6">
        <v>0</v>
      </c>
      <c r="L41" s="6"/>
      <c r="M41" s="6"/>
      <c r="N41" s="6"/>
      <c r="O41" s="6"/>
      <c r="P41" s="6"/>
      <c r="Q41" s="6"/>
      <c r="R41" s="6">
        <v>426.53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28.15</v>
      </c>
      <c r="Y41" s="6">
        <v>8.53</v>
      </c>
      <c r="Z41" s="6">
        <v>0</v>
      </c>
      <c r="AA41" s="6">
        <v>389.85</v>
      </c>
      <c r="AB41" s="6">
        <f>R41-X41-Y41</f>
      </c>
      <c r="AC41" s="6">
        <f>U41+V41+W41</f>
      </c>
      <c r="AD41" s="7">
        <v>46112</v>
      </c>
      <c r="AE41" t="s">
        <v>68</v>
      </c>
      <c r="AF41" s="8">
        <f>R41-S41+T41-U41-V41-W41-X41-Y41-Z41-AA41</f>
      </c>
    </row>
    <row r="42" spans="1:32" x14ac:dyDescent="0.25">
      <c r="A42" s="5">
        <v>46108</v>
      </c>
      <c r="B42" s="5">
        <v>46108</v>
      </c>
      <c r="C42" s="5">
        <v>8802</v>
      </c>
      <c r="D42">
        <v>48050</v>
      </c>
      <c r="E42" t="s">
        <v>123</v>
      </c>
      <c r="F42" t="s">
        <v>73</v>
      </c>
      <c r="G42" t="s">
        <v>35</v>
      </c>
      <c r="H42" t="s">
        <v>124</v>
      </c>
      <c r="I42" s="6">
        <v>2044.78</v>
      </c>
      <c r="J42" s="6">
        <v>0</v>
      </c>
      <c r="K42" s="6">
        <v>0</v>
      </c>
      <c r="L42" s="6"/>
      <c r="M42" s="6"/>
      <c r="N42" s="6"/>
      <c r="O42" s="6"/>
      <c r="P42" s="6"/>
      <c r="Q42" s="6"/>
      <c r="R42" s="6">
        <v>2044.78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134.96</v>
      </c>
      <c r="Y42" s="6">
        <v>0</v>
      </c>
      <c r="Z42" s="6">
        <v>0</v>
      </c>
      <c r="AA42" s="6">
        <v>1909.82</v>
      </c>
      <c r="AB42" s="6">
        <f>R42-X42-Y42</f>
      </c>
      <c r="AC42" s="6">
        <f>U42+V42+W42</f>
      </c>
      <c r="AD42" s="7">
        <v>46112</v>
      </c>
      <c r="AE42" t="s">
        <v>68</v>
      </c>
      <c r="AF42" s="8">
        <f>R42-S42+T42-U42-V42-W42-X42-Y42-Z42-AA42</f>
      </c>
    </row>
    <row r="43" spans="1:32" x14ac:dyDescent="0.25">
      <c r="A43" s="5">
        <v>46108</v>
      </c>
      <c r="B43" s="5">
        <v>46108</v>
      </c>
      <c r="C43" s="5">
        <v>8700</v>
      </c>
      <c r="D43">
        <v>48149</v>
      </c>
      <c r="E43" t="s">
        <v>125</v>
      </c>
      <c r="F43" t="s">
        <v>73</v>
      </c>
      <c r="G43" t="s">
        <v>35</v>
      </c>
      <c r="H43" t="s">
        <v>126</v>
      </c>
      <c r="I43" s="6">
        <v>444.25</v>
      </c>
      <c r="J43" s="6">
        <v>0</v>
      </c>
      <c r="K43" s="6">
        <v>0</v>
      </c>
      <c r="L43" s="6"/>
      <c r="M43" s="6"/>
      <c r="N43" s="6"/>
      <c r="O43" s="6"/>
      <c r="P43" s="6"/>
      <c r="Q43" s="6"/>
      <c r="R43" s="6">
        <v>444.25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29.32</v>
      </c>
      <c r="Y43" s="6">
        <v>0</v>
      </c>
      <c r="Z43" s="6">
        <v>0</v>
      </c>
      <c r="AA43" s="6">
        <v>414.93</v>
      </c>
      <c r="AB43" s="6">
        <f>R43-X43-Y43</f>
      </c>
      <c r="AC43" s="6">
        <f>U43+V43+W43</f>
      </c>
      <c r="AD43" s="7">
        <v>46112</v>
      </c>
      <c r="AE43" t="s">
        <v>68</v>
      </c>
      <c r="AF43" s="8">
        <f>R43-S43+T43-U43-V43-W43-X43-Y43-Z43-AA43</f>
      </c>
    </row>
    <row r="44" spans="1:32" x14ac:dyDescent="0.25">
      <c r="A44" s="5">
        <v>46108</v>
      </c>
      <c r="B44" s="5">
        <v>46108</v>
      </c>
      <c r="C44" s="5">
        <v>15680</v>
      </c>
      <c r="D44">
        <v>48130</v>
      </c>
      <c r="E44" t="s">
        <v>127</v>
      </c>
      <c r="F44" t="s">
        <v>39</v>
      </c>
      <c r="G44" t="s">
        <v>35</v>
      </c>
      <c r="H44" t="s">
        <v>128</v>
      </c>
      <c r="I44" s="6">
        <v>0</v>
      </c>
      <c r="J44" s="6">
        <v>782.21</v>
      </c>
      <c r="K44" s="6">
        <v>0</v>
      </c>
      <c r="L44" s="6"/>
      <c r="M44" s="6"/>
      <c r="N44" s="6"/>
      <c r="O44" s="6"/>
      <c r="P44" s="6"/>
      <c r="Q44" s="6"/>
      <c r="R44" s="6">
        <v>782.21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51.63</v>
      </c>
      <c r="Y44" s="6">
        <v>0</v>
      </c>
      <c r="Z44" s="6">
        <v>0</v>
      </c>
      <c r="AA44" s="6">
        <v>730.58</v>
      </c>
      <c r="AB44" s="6">
        <f>R44-X44-Y44</f>
      </c>
      <c r="AC44" s="6">
        <f>U44+V44+W44</f>
      </c>
      <c r="AD44" s="7">
        <v>46112</v>
      </c>
      <c r="AE44" t="s">
        <v>44</v>
      </c>
      <c r="AF44" s="8">
        <f>R44-S44+T44-U44-V44-W44-X44-Y44-Z44-AA44</f>
      </c>
    </row>
    <row r="45" spans="1:32" x14ac:dyDescent="0.25">
      <c r="A45" s="5">
        <v>46108</v>
      </c>
      <c r="B45" s="5">
        <v>46108</v>
      </c>
      <c r="C45" s="5">
        <v>15275</v>
      </c>
      <c r="D45">
        <v>48160</v>
      </c>
      <c r="E45" t="s">
        <v>129</v>
      </c>
      <c r="F45" t="s">
        <v>34</v>
      </c>
      <c r="G45" t="s">
        <v>35</v>
      </c>
      <c r="H45" t="s">
        <v>130</v>
      </c>
      <c r="I45" s="6">
        <v>1120.36</v>
      </c>
      <c r="J45" s="6">
        <v>408.18</v>
      </c>
      <c r="K45" s="6">
        <v>0</v>
      </c>
      <c r="L45" s="6"/>
      <c r="M45" s="6"/>
      <c r="N45" s="6"/>
      <c r="O45" s="6"/>
      <c r="P45" s="6"/>
      <c r="Q45" s="6"/>
      <c r="R45" s="6">
        <v>1528.54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100.88</v>
      </c>
      <c r="Y45" s="6">
        <v>30.57</v>
      </c>
      <c r="Z45" s="6">
        <v>0</v>
      </c>
      <c r="AA45" s="6">
        <v>1397.09</v>
      </c>
      <c r="AB45" s="6">
        <f>R45-X45-Y45</f>
      </c>
      <c r="AC45" s="6">
        <f>U45+V45+W45</f>
      </c>
      <c r="AD45" s="7">
        <v>46112</v>
      </c>
      <c r="AE45" t="s">
        <v>48</v>
      </c>
      <c r="AF45" s="8">
        <f>R45-S45+T45-U45-V45-W45-X45-Y45-Z45-AA45</f>
      </c>
    </row>
    <row r="46" spans="1:32" x14ac:dyDescent="0.25">
      <c r="A46" s="5">
        <v>46108</v>
      </c>
      <c r="B46" s="5">
        <v>46108</v>
      </c>
      <c r="C46" s="5">
        <v>82890</v>
      </c>
      <c r="D46">
        <v>48081</v>
      </c>
      <c r="E46" t="s">
        <v>131</v>
      </c>
      <c r="F46" t="s">
        <v>73</v>
      </c>
      <c r="G46" t="s">
        <v>35</v>
      </c>
      <c r="H46" t="s">
        <v>132</v>
      </c>
      <c r="I46" s="6">
        <v>1792.2</v>
      </c>
      <c r="J46" s="6">
        <v>0</v>
      </c>
      <c r="K46" s="6">
        <v>0</v>
      </c>
      <c r="L46" s="6"/>
      <c r="M46" s="6"/>
      <c r="N46" s="6"/>
      <c r="O46" s="6"/>
      <c r="P46" s="6"/>
      <c r="Q46" s="6"/>
      <c r="R46" s="6">
        <v>1792.2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118.29</v>
      </c>
      <c r="Y46" s="6">
        <v>0</v>
      </c>
      <c r="Z46" s="6">
        <v>0</v>
      </c>
      <c r="AA46" s="6">
        <v>1673.91</v>
      </c>
      <c r="AB46" s="6">
        <f>R46-X46-Y46</f>
      </c>
      <c r="AC46" s="6">
        <f>U46+V46+W46</f>
      </c>
      <c r="AD46" s="7">
        <v>46112</v>
      </c>
      <c r="AE46" t="s">
        <v>68</v>
      </c>
      <c r="AF46" s="8">
        <f>R46-S46+T46-U46-V46-W46-X46-Y46-Z46-AA46</f>
      </c>
    </row>
    <row r="47" spans="1:32" x14ac:dyDescent="0.25">
      <c r="A47" s="5">
        <v>46107</v>
      </c>
      <c r="B47" s="5">
        <v>46107</v>
      </c>
      <c r="C47" s="5">
        <v>15725</v>
      </c>
      <c r="D47">
        <v>48280</v>
      </c>
      <c r="E47" t="s">
        <v>133</v>
      </c>
      <c r="F47" t="s">
        <v>46</v>
      </c>
      <c r="G47" t="s">
        <v>35</v>
      </c>
      <c r="H47" t="s">
        <v>134</v>
      </c>
      <c r="I47" s="6">
        <v>1270.95</v>
      </c>
      <c r="J47" s="6">
        <v>1624.86</v>
      </c>
      <c r="K47" s="6">
        <v>0</v>
      </c>
      <c r="L47" s="6"/>
      <c r="M47" s="6"/>
      <c r="N47" s="6"/>
      <c r="O47" s="6"/>
      <c r="P47" s="6"/>
      <c r="Q47" s="6"/>
      <c r="R47" s="6">
        <v>2895.81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191.12</v>
      </c>
      <c r="Y47" s="6">
        <v>57.92</v>
      </c>
      <c r="Z47" s="6">
        <v>0</v>
      </c>
      <c r="AA47" s="6">
        <v>2646.77</v>
      </c>
      <c r="AB47" s="6">
        <f>R47-X47-Y47</f>
      </c>
      <c r="AC47" s="6">
        <f>U47+V47+W47</f>
      </c>
      <c r="AD47" s="7">
        <v>46112</v>
      </c>
      <c r="AE47" t="s">
        <v>48</v>
      </c>
      <c r="AF47" s="8">
        <f>R47-S47+T47-U47-V47-W47-X47-Y47-Z47-AA47</f>
      </c>
    </row>
    <row r="48" spans="1:32" x14ac:dyDescent="0.25">
      <c r="A48" s="5">
        <v>46108</v>
      </c>
      <c r="B48" s="5">
        <v>46108</v>
      </c>
      <c r="C48" s="5">
        <v>15276</v>
      </c>
      <c r="D48">
        <v>48161</v>
      </c>
      <c r="E48" t="s">
        <v>135</v>
      </c>
      <c r="F48" t="s">
        <v>34</v>
      </c>
      <c r="G48" t="s">
        <v>35</v>
      </c>
      <c r="H48" t="s">
        <v>136</v>
      </c>
      <c r="I48" s="6">
        <v>2827.93</v>
      </c>
      <c r="J48" s="6">
        <v>2513.68</v>
      </c>
      <c r="K48" s="6">
        <v>0</v>
      </c>
      <c r="L48" s="6"/>
      <c r="M48" s="6"/>
      <c r="N48" s="6"/>
      <c r="O48" s="6"/>
      <c r="P48" s="6"/>
      <c r="Q48" s="6"/>
      <c r="R48" s="6">
        <v>5341.61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352.55</v>
      </c>
      <c r="Y48" s="6">
        <v>106.83</v>
      </c>
      <c r="Z48" s="6">
        <v>201.27</v>
      </c>
      <c r="AA48" s="6">
        <v>4680.96</v>
      </c>
      <c r="AB48" s="6">
        <f>R48-X48-Y48</f>
      </c>
      <c r="AC48" s="6">
        <f>U48+V48+W48</f>
      </c>
      <c r="AD48" s="7">
        <v>46112</v>
      </c>
      <c r="AE48" t="s">
        <v>48</v>
      </c>
      <c r="AF48" s="8">
        <f>R48-S48+T48-U48-V48-W48-X48-Y48-Z48-AA48</f>
      </c>
    </row>
    <row r="49" spans="1:32" x14ac:dyDescent="0.25">
      <c r="A49" s="5">
        <v>46107</v>
      </c>
      <c r="B49" s="5">
        <v>46107</v>
      </c>
      <c r="C49" s="5">
        <v>82978</v>
      </c>
      <c r="D49">
        <v>48249</v>
      </c>
      <c r="E49" t="s">
        <v>137</v>
      </c>
      <c r="F49" t="s">
        <v>66</v>
      </c>
      <c r="G49" t="s">
        <v>35</v>
      </c>
      <c r="H49" t="s">
        <v>138</v>
      </c>
      <c r="I49" s="6">
        <v>338.72</v>
      </c>
      <c r="J49" s="6">
        <v>499.97</v>
      </c>
      <c r="K49" s="6">
        <v>0</v>
      </c>
      <c r="L49" s="6"/>
      <c r="M49" s="6"/>
      <c r="N49" s="6"/>
      <c r="O49" s="6"/>
      <c r="P49" s="6"/>
      <c r="Q49" s="6"/>
      <c r="R49" s="6">
        <v>838.69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55.35</v>
      </c>
      <c r="Y49" s="6">
        <v>16.77</v>
      </c>
      <c r="Z49" s="6">
        <v>0</v>
      </c>
      <c r="AA49" s="6">
        <v>766.57</v>
      </c>
      <c r="AB49" s="6">
        <f>R49-X49-Y49</f>
      </c>
      <c r="AC49" s="6">
        <f>U49+V49+W49</f>
      </c>
      <c r="AD49" s="7">
        <v>46112</v>
      </c>
      <c r="AE49" t="s">
        <v>68</v>
      </c>
      <c r="AF49" s="8">
        <f>R49-S49+T49-U49-V49-W49-X49-Y49-Z49-AA49</f>
      </c>
    </row>
    <row r="50" spans="1:32" x14ac:dyDescent="0.25">
      <c r="A50" s="5">
        <v>46108</v>
      </c>
      <c r="B50" s="5">
        <v>46108</v>
      </c>
      <c r="C50" s="5">
        <v>9422</v>
      </c>
      <c r="D50">
        <v>48052</v>
      </c>
      <c r="E50" t="s">
        <v>139</v>
      </c>
      <c r="F50" t="s">
        <v>80</v>
      </c>
      <c r="G50" t="s">
        <v>35</v>
      </c>
      <c r="H50" t="s">
        <v>140</v>
      </c>
      <c r="I50" s="6">
        <v>462.93</v>
      </c>
      <c r="J50" s="6">
        <v>0</v>
      </c>
      <c r="K50" s="6">
        <v>0</v>
      </c>
      <c r="L50" s="6"/>
      <c r="M50" s="6"/>
      <c r="N50" s="6"/>
      <c r="O50" s="6"/>
      <c r="P50" s="6"/>
      <c r="Q50" s="6"/>
      <c r="R50" s="6">
        <v>462.93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30.55</v>
      </c>
      <c r="Y50" s="6">
        <v>9.26</v>
      </c>
      <c r="Z50" s="6">
        <v>0</v>
      </c>
      <c r="AA50" s="6">
        <v>423.12</v>
      </c>
      <c r="AB50" s="6">
        <f>R50-X50-Y50</f>
      </c>
      <c r="AC50" s="6">
        <f>U50+V50+W50</f>
      </c>
      <c r="AD50" s="7">
        <v>46112</v>
      </c>
      <c r="AE50" t="s">
        <v>68</v>
      </c>
      <c r="AF50" s="8">
        <f>R50-S50+T50-U50-V50-W50-X50-Y50-Z50-AA50</f>
      </c>
    </row>
    <row r="51" spans="1:32" x14ac:dyDescent="0.25">
      <c r="A51" s="5">
        <v>46108</v>
      </c>
      <c r="B51" s="5">
        <v>46108</v>
      </c>
      <c r="C51" s="5">
        <v>15917</v>
      </c>
      <c r="D51">
        <v>48182</v>
      </c>
      <c r="E51" t="s">
        <v>141</v>
      </c>
      <c r="F51" t="s">
        <v>39</v>
      </c>
      <c r="G51" t="s">
        <v>35</v>
      </c>
      <c r="H51" t="s">
        <v>142</v>
      </c>
      <c r="I51" s="6">
        <v>836.89</v>
      </c>
      <c r="J51" s="6">
        <v>197.55</v>
      </c>
      <c r="K51" s="6">
        <v>0</v>
      </c>
      <c r="L51" s="6"/>
      <c r="M51" s="6"/>
      <c r="N51" s="6"/>
      <c r="O51" s="6"/>
      <c r="P51" s="6"/>
      <c r="Q51" s="6"/>
      <c r="R51" s="6">
        <v>1034.44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68.27</v>
      </c>
      <c r="Y51" s="6">
        <v>0</v>
      </c>
      <c r="Z51" s="6">
        <v>0</v>
      </c>
      <c r="AA51" s="6">
        <v>966.17</v>
      </c>
      <c r="AB51" s="6">
        <f>R51-X51-Y51</f>
      </c>
      <c r="AC51" s="6">
        <f>U51+V51+W51</f>
      </c>
      <c r="AD51" s="7">
        <v>46112</v>
      </c>
      <c r="AE51" t="s">
        <v>37</v>
      </c>
      <c r="AF51" s="8">
        <f>R51-S51+T51-U51-V51-W51-X51-Y51-Z51-AA51</f>
      </c>
    </row>
    <row r="52" spans="1:32" x14ac:dyDescent="0.25">
      <c r="A52" s="5">
        <v>46108</v>
      </c>
      <c r="B52" s="5">
        <v>46108</v>
      </c>
      <c r="C52" s="5">
        <v>15952</v>
      </c>
      <c r="D52">
        <v>48168</v>
      </c>
      <c r="E52" t="s">
        <v>143</v>
      </c>
      <c r="F52" t="s">
        <v>34</v>
      </c>
      <c r="G52" t="s">
        <v>35</v>
      </c>
      <c r="H52" t="s">
        <v>144</v>
      </c>
      <c r="I52" s="6">
        <v>0</v>
      </c>
      <c r="J52" s="6">
        <v>171.6</v>
      </c>
      <c r="K52" s="6">
        <v>0</v>
      </c>
      <c r="L52" s="6"/>
      <c r="M52" s="6"/>
      <c r="N52" s="6"/>
      <c r="O52" s="6"/>
      <c r="P52" s="6"/>
      <c r="Q52" s="6"/>
      <c r="R52" s="6">
        <v>171.6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11.33</v>
      </c>
      <c r="Y52" s="6">
        <v>3.43</v>
      </c>
      <c r="Z52" s="6">
        <v>0</v>
      </c>
      <c r="AA52" s="6">
        <v>156.84</v>
      </c>
      <c r="AB52" s="6">
        <f>R52-X52-Y52</f>
      </c>
      <c r="AC52" s="6">
        <f>U52+V52+W52</f>
      </c>
      <c r="AD52" s="7">
        <v>46112</v>
      </c>
      <c r="AE52" t="s">
        <v>37</v>
      </c>
      <c r="AF52" s="8">
        <f>R52-S52+T52-U52-V52-W52-X52-Y52-Z52-AA52</f>
      </c>
    </row>
    <row r="53" spans="1:32" x14ac:dyDescent="0.25">
      <c r="A53" s="5">
        <v>46107</v>
      </c>
      <c r="B53" s="5">
        <v>46107</v>
      </c>
      <c r="C53" s="5">
        <v>8104</v>
      </c>
      <c r="D53">
        <v>48296</v>
      </c>
      <c r="E53" t="s">
        <v>145</v>
      </c>
      <c r="F53" t="s">
        <v>66</v>
      </c>
      <c r="G53" t="s">
        <v>35</v>
      </c>
      <c r="H53" t="s">
        <v>146</v>
      </c>
      <c r="I53" s="6">
        <v>341.38</v>
      </c>
      <c r="J53" s="6">
        <v>43.33</v>
      </c>
      <c r="K53" s="6">
        <v>0</v>
      </c>
      <c r="L53" s="6"/>
      <c r="M53" s="6"/>
      <c r="N53" s="6"/>
      <c r="O53" s="6"/>
      <c r="P53" s="6"/>
      <c r="Q53" s="6"/>
      <c r="R53" s="6">
        <v>384.71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25.39</v>
      </c>
      <c r="Y53" s="6">
        <v>7.69</v>
      </c>
      <c r="Z53" s="6">
        <v>0</v>
      </c>
      <c r="AA53" s="6">
        <v>351.63</v>
      </c>
      <c r="AB53" s="6">
        <f>R53-X53-Y53</f>
      </c>
      <c r="AC53" s="6">
        <f>U53+V53+W53</f>
      </c>
      <c r="AD53" s="7">
        <v>46112</v>
      </c>
      <c r="AE53" t="s">
        <v>68</v>
      </c>
      <c r="AF53" s="8">
        <f>R53-S53+T53-U53-V53-W53-X53-Y53-Z53-AA53</f>
      </c>
    </row>
    <row r="54" spans="1:32" x14ac:dyDescent="0.25">
      <c r="A54" s="5">
        <v>46107</v>
      </c>
      <c r="B54" s="5">
        <v>46107</v>
      </c>
      <c r="C54" s="5">
        <v>82872</v>
      </c>
      <c r="D54">
        <v>48250</v>
      </c>
      <c r="E54" t="s">
        <v>147</v>
      </c>
      <c r="F54" t="s">
        <v>66</v>
      </c>
      <c r="G54" t="s">
        <v>35</v>
      </c>
      <c r="H54" t="s">
        <v>148</v>
      </c>
      <c r="I54" s="6">
        <v>817.77</v>
      </c>
      <c r="J54" s="6">
        <v>836.18</v>
      </c>
      <c r="K54" s="6">
        <v>0</v>
      </c>
      <c r="L54" s="6"/>
      <c r="M54" s="6"/>
      <c r="N54" s="6"/>
      <c r="O54" s="6"/>
      <c r="P54" s="6"/>
      <c r="Q54" s="6"/>
      <c r="R54" s="6">
        <v>1653.95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109.16</v>
      </c>
      <c r="Y54" s="6">
        <v>33.08</v>
      </c>
      <c r="Z54" s="6">
        <v>0</v>
      </c>
      <c r="AA54" s="6">
        <v>1511.71</v>
      </c>
      <c r="AB54" s="6">
        <f>R54-X54-Y54</f>
      </c>
      <c r="AC54" s="6">
        <f>U54+V54+W54</f>
      </c>
      <c r="AD54" s="7">
        <v>46112</v>
      </c>
      <c r="AE54" t="s">
        <v>68</v>
      </c>
      <c r="AF54" s="8">
        <f>R54-S54+T54-U54-V54-W54-X54-Y54-Z54-AA54</f>
      </c>
    </row>
    <row r="55" spans="1:32" x14ac:dyDescent="0.25">
      <c r="A55" s="5">
        <v>46107</v>
      </c>
      <c r="B55" s="5">
        <v>46107</v>
      </c>
      <c r="C55" s="5">
        <v>14052</v>
      </c>
      <c r="D55">
        <v>48266</v>
      </c>
      <c r="E55" t="s">
        <v>149</v>
      </c>
      <c r="F55" t="s">
        <v>46</v>
      </c>
      <c r="G55" t="s">
        <v>35</v>
      </c>
      <c r="H55" t="s">
        <v>150</v>
      </c>
      <c r="I55" s="6">
        <v>1189.56</v>
      </c>
      <c r="J55" s="6">
        <v>628.46</v>
      </c>
      <c r="K55" s="6">
        <v>0</v>
      </c>
      <c r="L55" s="6"/>
      <c r="M55" s="6"/>
      <c r="N55" s="6"/>
      <c r="O55" s="6"/>
      <c r="P55" s="6"/>
      <c r="Q55" s="6"/>
      <c r="R55" s="6">
        <v>1818.02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119.99</v>
      </c>
      <c r="Y55" s="6">
        <v>36.36</v>
      </c>
      <c r="Z55" s="6">
        <v>0</v>
      </c>
      <c r="AA55" s="6">
        <v>1661.67</v>
      </c>
      <c r="AB55" s="6">
        <f>R55-X55-Y55</f>
      </c>
      <c r="AC55" s="6">
        <f>U55+V55+W55</f>
      </c>
      <c r="AD55" s="7">
        <v>46112</v>
      </c>
      <c r="AE55" t="s">
        <v>48</v>
      </c>
      <c r="AF55" s="8">
        <f>R55-S55+T55-U55-V55-W55-X55-Y55-Z55-AA55</f>
      </c>
    </row>
    <row r="56" spans="1:32" x14ac:dyDescent="0.25">
      <c r="A56" s="5">
        <v>46107</v>
      </c>
      <c r="B56" s="5">
        <v>46107</v>
      </c>
      <c r="C56" s="5">
        <v>15022</v>
      </c>
      <c r="D56">
        <v>48281</v>
      </c>
      <c r="E56" t="s">
        <v>151</v>
      </c>
      <c r="F56" t="s">
        <v>46</v>
      </c>
      <c r="G56" t="s">
        <v>35</v>
      </c>
      <c r="H56" t="s">
        <v>152</v>
      </c>
      <c r="I56" s="6">
        <v>69.15</v>
      </c>
      <c r="J56" s="6">
        <v>143</v>
      </c>
      <c r="K56" s="6">
        <v>0</v>
      </c>
      <c r="L56" s="6"/>
      <c r="M56" s="6"/>
      <c r="N56" s="6"/>
      <c r="O56" s="6"/>
      <c r="P56" s="6"/>
      <c r="Q56" s="6"/>
      <c r="R56" s="6">
        <v>212.15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14</v>
      </c>
      <c r="Y56" s="6">
        <v>4.24</v>
      </c>
      <c r="Z56" s="6">
        <v>0</v>
      </c>
      <c r="AA56" s="6">
        <v>193.91</v>
      </c>
      <c r="AB56" s="6">
        <f>R56-X56-Y56</f>
      </c>
      <c r="AC56" s="6">
        <f>U56+V56+W56</f>
      </c>
      <c r="AD56" s="7">
        <v>46112</v>
      </c>
      <c r="AE56" t="s">
        <v>64</v>
      </c>
      <c r="AF56" s="8">
        <f>R56-S56+T56-U56-V56-W56-X56-Y56-Z56-AA56</f>
      </c>
    </row>
    <row r="57" spans="1:32" x14ac:dyDescent="0.25">
      <c r="A57" s="5">
        <v>46107</v>
      </c>
      <c r="B57" s="5">
        <v>46107</v>
      </c>
      <c r="C57" s="5">
        <v>15255</v>
      </c>
      <c r="D57">
        <v>48282</v>
      </c>
      <c r="E57" t="s">
        <v>153</v>
      </c>
      <c r="F57" t="s">
        <v>46</v>
      </c>
      <c r="G57" t="s">
        <v>35</v>
      </c>
      <c r="H57" t="s">
        <v>152</v>
      </c>
      <c r="I57" s="6">
        <v>2122.1499999999996</v>
      </c>
      <c r="J57" s="6">
        <v>2032.59</v>
      </c>
      <c r="K57" s="6">
        <v>0</v>
      </c>
      <c r="L57" s="6"/>
      <c r="M57" s="6"/>
      <c r="N57" s="6"/>
      <c r="O57" s="6"/>
      <c r="P57" s="6"/>
      <c r="Q57" s="6"/>
      <c r="R57" s="6">
        <v>4154.74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274.21</v>
      </c>
      <c r="Y57" s="6">
        <v>83.09</v>
      </c>
      <c r="Z57" s="6">
        <v>0</v>
      </c>
      <c r="AA57" s="6">
        <v>3797.44</v>
      </c>
      <c r="AB57" s="6">
        <f>R57-X57-Y57</f>
      </c>
      <c r="AC57" s="6">
        <f>U57+V57+W57</f>
      </c>
      <c r="AD57" s="7">
        <v>46112</v>
      </c>
      <c r="AE57" t="s">
        <v>64</v>
      </c>
      <c r="AF57" s="8">
        <f>R57-S57+T57-U57-V57-W57-X57-Y57-Z57-AA57</f>
      </c>
    </row>
    <row r="58" spans="1:32" x14ac:dyDescent="0.25">
      <c r="A58" s="5">
        <v>46107</v>
      </c>
      <c r="B58" s="5">
        <v>46107</v>
      </c>
      <c r="C58" s="5">
        <v>9223</v>
      </c>
      <c r="D58">
        <v>48283</v>
      </c>
      <c r="E58" t="s">
        <v>154</v>
      </c>
      <c r="F58" t="s">
        <v>46</v>
      </c>
      <c r="G58" t="s">
        <v>35</v>
      </c>
      <c r="H58" t="s">
        <v>155</v>
      </c>
      <c r="I58" s="6">
        <v>2876.6500000000005</v>
      </c>
      <c r="J58" s="6">
        <v>2580.24</v>
      </c>
      <c r="K58" s="6">
        <v>0</v>
      </c>
      <c r="L58" s="6"/>
      <c r="M58" s="6"/>
      <c r="N58" s="6"/>
      <c r="O58" s="6"/>
      <c r="P58" s="6"/>
      <c r="Q58" s="6"/>
      <c r="R58" s="6">
        <v>5456.89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360.15</v>
      </c>
      <c r="Y58" s="6">
        <v>109.14</v>
      </c>
      <c r="Z58" s="6">
        <v>248.32</v>
      </c>
      <c r="AA58" s="6">
        <v>4739.28</v>
      </c>
      <c r="AB58" s="6">
        <f>R58-X58-Y58</f>
      </c>
      <c r="AC58" s="6">
        <f>U58+V58+W58</f>
      </c>
      <c r="AD58" s="7">
        <v>46112</v>
      </c>
      <c r="AE58" t="s">
        <v>64</v>
      </c>
      <c r="AF58" s="8">
        <f>R58-S58+T58-U58-V58-W58-X58-Y58-Z58-AA58</f>
      </c>
    </row>
    <row r="59" spans="1:32" x14ac:dyDescent="0.25">
      <c r="A59" s="5">
        <v>46107</v>
      </c>
      <c r="B59" s="5">
        <v>46107</v>
      </c>
      <c r="C59" s="5">
        <v>15247</v>
      </c>
      <c r="D59">
        <v>48285</v>
      </c>
      <c r="E59" t="s">
        <v>156</v>
      </c>
      <c r="F59" t="s">
        <v>66</v>
      </c>
      <c r="G59" t="s">
        <v>35</v>
      </c>
      <c r="H59" t="s">
        <v>157</v>
      </c>
      <c r="I59" s="6">
        <v>104.93</v>
      </c>
      <c r="J59" s="6">
        <v>102.06</v>
      </c>
      <c r="K59" s="6">
        <v>0</v>
      </c>
      <c r="L59" s="6"/>
      <c r="M59" s="6"/>
      <c r="N59" s="6"/>
      <c r="O59" s="6"/>
      <c r="P59" s="6"/>
      <c r="Q59" s="6"/>
      <c r="R59" s="6">
        <v>206.99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13.66</v>
      </c>
      <c r="Y59" s="6">
        <v>4.14</v>
      </c>
      <c r="Z59" s="6">
        <v>0</v>
      </c>
      <c r="AA59" s="6">
        <v>189.19</v>
      </c>
      <c r="AB59" s="6">
        <f>R59-X59-Y59</f>
      </c>
      <c r="AC59" s="6">
        <f>U59+V59+W59</f>
      </c>
      <c r="AD59" s="7">
        <v>46112</v>
      </c>
      <c r="AE59" t="s">
        <v>68</v>
      </c>
      <c r="AF59" s="8">
        <f>R59-S59+T59-U59-V59-W59-X59-Y59-Z59-AA59</f>
      </c>
    </row>
    <row r="60" spans="1:32" x14ac:dyDescent="0.25">
      <c r="A60" s="5">
        <v>46108</v>
      </c>
      <c r="B60" s="5">
        <v>46108</v>
      </c>
      <c r="C60" s="5">
        <v>9059</v>
      </c>
      <c r="D60">
        <v>48137</v>
      </c>
      <c r="E60" t="s">
        <v>158</v>
      </c>
      <c r="F60" t="s">
        <v>39</v>
      </c>
      <c r="G60" t="s">
        <v>35</v>
      </c>
      <c r="H60" t="s">
        <v>159</v>
      </c>
      <c r="I60" s="6">
        <v>30.49</v>
      </c>
      <c r="J60" s="6">
        <v>0</v>
      </c>
      <c r="K60" s="6">
        <v>0</v>
      </c>
      <c r="L60" s="6"/>
      <c r="M60" s="6"/>
      <c r="N60" s="6"/>
      <c r="O60" s="6"/>
      <c r="P60" s="6"/>
      <c r="Q60" s="6"/>
      <c r="R60" s="6">
        <v>30.49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2.01</v>
      </c>
      <c r="Y60" s="6">
        <v>0</v>
      </c>
      <c r="Z60" s="6">
        <v>0</v>
      </c>
      <c r="AA60" s="6">
        <v>28.48</v>
      </c>
      <c r="AB60" s="6">
        <f>R60-X60-Y60</f>
      </c>
      <c r="AC60" s="6">
        <f>U60+V60+W60</f>
      </c>
      <c r="AD60" s="7">
        <v>46112</v>
      </c>
      <c r="AE60" t="s">
        <v>37</v>
      </c>
      <c r="AF60" s="8">
        <f>R60-S60+T60-U60-V60-W60-X60-Y60-Z60-AA60</f>
      </c>
    </row>
    <row r="61" spans="1:32" x14ac:dyDescent="0.25">
      <c r="A61" s="5">
        <v>46107</v>
      </c>
      <c r="B61" s="5">
        <v>46107</v>
      </c>
      <c r="C61" s="5">
        <v>82967</v>
      </c>
      <c r="D61">
        <v>48251</v>
      </c>
      <c r="E61" t="s">
        <v>160</v>
      </c>
      <c r="F61" t="s">
        <v>66</v>
      </c>
      <c r="G61" t="s">
        <v>35</v>
      </c>
      <c r="H61" t="s">
        <v>161</v>
      </c>
      <c r="I61" s="6">
        <v>73.4</v>
      </c>
      <c r="J61" s="6">
        <v>57.26</v>
      </c>
      <c r="K61" s="6">
        <v>0</v>
      </c>
      <c r="L61" s="6"/>
      <c r="M61" s="6"/>
      <c r="N61" s="6"/>
      <c r="O61" s="6"/>
      <c r="P61" s="6"/>
      <c r="Q61" s="6"/>
      <c r="R61" s="6">
        <v>130.66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8.62</v>
      </c>
      <c r="Y61" s="6">
        <v>2.61</v>
      </c>
      <c r="Z61" s="6">
        <v>0</v>
      </c>
      <c r="AA61" s="6">
        <v>119.43</v>
      </c>
      <c r="AB61" s="6">
        <f>R61-X61-Y61</f>
      </c>
      <c r="AC61" s="6">
        <f>U61+V61+W61</f>
      </c>
      <c r="AD61" s="7">
        <v>46112</v>
      </c>
      <c r="AE61" t="s">
        <v>68</v>
      </c>
      <c r="AF61" s="8">
        <f>R61-S61+T61-U61-V61-W61-X61-Y61-Z61-AA61</f>
      </c>
    </row>
    <row r="62" spans="1:32" x14ac:dyDescent="0.25">
      <c r="A62" s="5">
        <v>46108</v>
      </c>
      <c r="B62" s="5">
        <v>46108</v>
      </c>
      <c r="C62" s="5">
        <v>82944</v>
      </c>
      <c r="D62">
        <v>48309</v>
      </c>
      <c r="E62" t="s">
        <v>162</v>
      </c>
      <c r="F62" t="s">
        <v>39</v>
      </c>
      <c r="G62" t="s">
        <v>35</v>
      </c>
      <c r="H62" t="s">
        <v>163</v>
      </c>
      <c r="I62" s="6">
        <v>52.26</v>
      </c>
      <c r="J62" s="6">
        <v>17.42</v>
      </c>
      <c r="K62" s="6">
        <v>0</v>
      </c>
      <c r="L62" s="6"/>
      <c r="M62" s="6"/>
      <c r="N62" s="6"/>
      <c r="O62" s="6"/>
      <c r="P62" s="6"/>
      <c r="Q62" s="6"/>
      <c r="R62" s="6">
        <v>69.68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4.6</v>
      </c>
      <c r="Y62" s="6">
        <v>0</v>
      </c>
      <c r="Z62" s="6">
        <v>0</v>
      </c>
      <c r="AA62" s="6">
        <v>65.08</v>
      </c>
      <c r="AB62" s="6">
        <f>R62-X62-Y62</f>
      </c>
      <c r="AC62" s="6">
        <f>U62+V62+W62</f>
      </c>
      <c r="AD62" s="7">
        <v>46112</v>
      </c>
      <c r="AE62" t="s">
        <v>41</v>
      </c>
      <c r="AF62" s="8">
        <f>R62-S62+T62-U62-V62-W62-X62-Y62-Z62-AA62</f>
      </c>
    </row>
    <row r="63" spans="1:32" x14ac:dyDescent="0.25">
      <c r="A63" s="5">
        <v>46108</v>
      </c>
      <c r="B63" s="5">
        <v>46108</v>
      </c>
      <c r="C63" s="5">
        <v>9841</v>
      </c>
      <c r="D63">
        <v>48118</v>
      </c>
      <c r="E63" t="s">
        <v>164</v>
      </c>
      <c r="F63" t="s">
        <v>39</v>
      </c>
      <c r="G63" t="s">
        <v>35</v>
      </c>
      <c r="H63" t="s">
        <v>165</v>
      </c>
      <c r="I63" s="6">
        <v>669.66</v>
      </c>
      <c r="J63" s="6">
        <v>150.11</v>
      </c>
      <c r="K63" s="6">
        <v>0</v>
      </c>
      <c r="L63" s="6"/>
      <c r="M63" s="6"/>
      <c r="N63" s="6"/>
      <c r="O63" s="6"/>
      <c r="P63" s="6"/>
      <c r="Q63" s="6"/>
      <c r="R63" s="6">
        <v>819.77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54.1</v>
      </c>
      <c r="Y63" s="6">
        <v>0</v>
      </c>
      <c r="Z63" s="6">
        <v>0</v>
      </c>
      <c r="AA63" s="6">
        <v>765.67</v>
      </c>
      <c r="AB63" s="6">
        <f>R63-X63-Y63</f>
      </c>
      <c r="AC63" s="6">
        <f>U63+V63+W63</f>
      </c>
      <c r="AD63" s="7">
        <v>46112</v>
      </c>
      <c r="AE63" t="s">
        <v>37</v>
      </c>
      <c r="AF63" s="8">
        <f>R63-S63+T63-U63-V63-W63-X63-Y63-Z63-AA63</f>
      </c>
    </row>
    <row r="64" spans="1:32" x14ac:dyDescent="0.25">
      <c r="A64" s="5">
        <v>46107</v>
      </c>
      <c r="B64" s="5">
        <v>46107</v>
      </c>
      <c r="C64" s="5">
        <v>14954</v>
      </c>
      <c r="D64">
        <v>48297</v>
      </c>
      <c r="E64" t="s">
        <v>166</v>
      </c>
      <c r="F64" t="s">
        <v>66</v>
      </c>
      <c r="G64" t="s">
        <v>35</v>
      </c>
      <c r="H64" t="s">
        <v>167</v>
      </c>
      <c r="I64" s="6">
        <v>627.7</v>
      </c>
      <c r="J64" s="6">
        <v>112.29</v>
      </c>
      <c r="K64" s="6">
        <v>0</v>
      </c>
      <c r="L64" s="6"/>
      <c r="M64" s="6"/>
      <c r="N64" s="6"/>
      <c r="O64" s="6"/>
      <c r="P64" s="6"/>
      <c r="Q64" s="6"/>
      <c r="R64" s="6">
        <v>739.99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48.84</v>
      </c>
      <c r="Y64" s="6">
        <v>14.8</v>
      </c>
      <c r="Z64" s="6">
        <v>0</v>
      </c>
      <c r="AA64" s="6">
        <v>676.35</v>
      </c>
      <c r="AB64" s="6">
        <f>R64-X64-Y64</f>
      </c>
      <c r="AC64" s="6">
        <f>U64+V64+W64</f>
      </c>
      <c r="AD64" s="7">
        <v>46112</v>
      </c>
      <c r="AE64" t="s">
        <v>68</v>
      </c>
      <c r="AF64" s="8">
        <f>R64-S64+T64-U64-V64-W64-X64-Y64-Z64-AA64</f>
      </c>
    </row>
    <row r="65" spans="1:32" x14ac:dyDescent="0.25">
      <c r="A65" s="5">
        <v>46108</v>
      </c>
      <c r="B65" s="5">
        <v>46108</v>
      </c>
      <c r="C65" s="5">
        <v>16016</v>
      </c>
      <c r="D65">
        <v>48237</v>
      </c>
      <c r="E65" t="s">
        <v>168</v>
      </c>
      <c r="F65" t="s">
        <v>39</v>
      </c>
      <c r="G65" t="s">
        <v>35</v>
      </c>
      <c r="H65" t="s">
        <v>169</v>
      </c>
      <c r="I65" s="6">
        <v>1177.8</v>
      </c>
      <c r="J65" s="6">
        <v>261.8</v>
      </c>
      <c r="K65" s="6">
        <v>0</v>
      </c>
      <c r="L65" s="6"/>
      <c r="M65" s="6"/>
      <c r="N65" s="6"/>
      <c r="O65" s="6"/>
      <c r="P65" s="6"/>
      <c r="Q65" s="6"/>
      <c r="R65" s="6">
        <v>1439.6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95.01</v>
      </c>
      <c r="Y65" s="6">
        <v>0</v>
      </c>
      <c r="Z65" s="6">
        <v>0</v>
      </c>
      <c r="AA65" s="6">
        <v>1344.59</v>
      </c>
      <c r="AB65" s="6">
        <f>R65-X65-Y65</f>
      </c>
      <c r="AC65" s="6">
        <f>U65+V65+W65</f>
      </c>
      <c r="AD65" s="7">
        <v>46112</v>
      </c>
      <c r="AE65" t="s">
        <v>44</v>
      </c>
      <c r="AF65" s="8">
        <f>R65-S65+T65-U65-V65-W65-X65-Y65-Z65-AA65</f>
      </c>
    </row>
    <row r="66" spans="1:32" x14ac:dyDescent="0.25">
      <c r="A66" s="5">
        <v>46108</v>
      </c>
      <c r="B66" s="5">
        <v>46108</v>
      </c>
      <c r="C66" s="5">
        <v>15337</v>
      </c>
      <c r="D66">
        <v>48054</v>
      </c>
      <c r="E66" t="s">
        <v>170</v>
      </c>
      <c r="F66" t="s">
        <v>39</v>
      </c>
      <c r="G66" t="s">
        <v>35</v>
      </c>
      <c r="H66" t="s">
        <v>171</v>
      </c>
      <c r="I66" s="6">
        <v>578.72</v>
      </c>
      <c r="J66" s="6">
        <v>51.7</v>
      </c>
      <c r="K66" s="6">
        <v>0</v>
      </c>
      <c r="L66" s="6"/>
      <c r="M66" s="6"/>
      <c r="N66" s="6"/>
      <c r="O66" s="6"/>
      <c r="P66" s="6"/>
      <c r="Q66" s="6"/>
      <c r="R66" s="6">
        <v>630.42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41.61</v>
      </c>
      <c r="Y66" s="6">
        <v>0</v>
      </c>
      <c r="Z66" s="6">
        <v>0</v>
      </c>
      <c r="AA66" s="6">
        <v>588.81</v>
      </c>
      <c r="AB66" s="6">
        <f>R66-X66-Y66</f>
      </c>
      <c r="AC66" s="6">
        <f>U66+V66+W66</f>
      </c>
      <c r="AD66" s="7">
        <v>46112</v>
      </c>
      <c r="AE66" t="s">
        <v>68</v>
      </c>
      <c r="AF66" s="8">
        <f>R66-S66+T66-U66-V66-W66-X66-Y66-Z66-AA66</f>
      </c>
    </row>
    <row r="67" spans="1:32" x14ac:dyDescent="0.25">
      <c r="A67" s="5">
        <v>46108</v>
      </c>
      <c r="B67" s="5">
        <v>46108</v>
      </c>
      <c r="C67" s="5">
        <v>15878</v>
      </c>
      <c r="D67">
        <v>48158</v>
      </c>
      <c r="E67" t="s">
        <v>172</v>
      </c>
      <c r="F67" t="s">
        <v>39</v>
      </c>
      <c r="G67" t="s">
        <v>35</v>
      </c>
      <c r="H67" t="s">
        <v>173</v>
      </c>
      <c r="I67" s="6">
        <v>665.3</v>
      </c>
      <c r="J67" s="6">
        <v>150.32</v>
      </c>
      <c r="K67" s="6">
        <v>0</v>
      </c>
      <c r="L67" s="6"/>
      <c r="M67" s="6"/>
      <c r="N67" s="6"/>
      <c r="O67" s="6"/>
      <c r="P67" s="6"/>
      <c r="Q67" s="6"/>
      <c r="R67" s="6">
        <v>815.62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53.83</v>
      </c>
      <c r="Y67" s="6">
        <v>0</v>
      </c>
      <c r="Z67" s="6">
        <v>0</v>
      </c>
      <c r="AA67" s="6">
        <v>761.79</v>
      </c>
      <c r="AB67" s="6">
        <f>R67-X67-Y67</f>
      </c>
      <c r="AC67" s="6">
        <f>U67+V67+W67</f>
      </c>
      <c r="AD67" s="7">
        <v>46112</v>
      </c>
      <c r="AE67" t="s">
        <v>37</v>
      </c>
      <c r="AF67" s="8">
        <f>R67-S67+T67-U67-V67-W67-X67-Y67-Z67-AA67</f>
      </c>
    </row>
    <row r="68" spans="1:32" x14ac:dyDescent="0.25">
      <c r="A68" s="5">
        <v>46108</v>
      </c>
      <c r="B68" s="5">
        <v>46108</v>
      </c>
      <c r="C68" s="5">
        <v>82903</v>
      </c>
      <c r="D68">
        <v>48196</v>
      </c>
      <c r="E68" t="s">
        <v>174</v>
      </c>
      <c r="F68" t="s">
        <v>39</v>
      </c>
      <c r="G68" t="s">
        <v>35</v>
      </c>
      <c r="H68" t="s">
        <v>175</v>
      </c>
      <c r="I68" s="6">
        <v>305.89</v>
      </c>
      <c r="J68" s="6">
        <v>0</v>
      </c>
      <c r="K68" s="6">
        <v>0</v>
      </c>
      <c r="L68" s="6"/>
      <c r="M68" s="6"/>
      <c r="N68" s="6"/>
      <c r="O68" s="6"/>
      <c r="P68" s="6"/>
      <c r="Q68" s="6"/>
      <c r="R68" s="6">
        <v>305.89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20.19</v>
      </c>
      <c r="Y68" s="6">
        <v>0</v>
      </c>
      <c r="Z68" s="6">
        <v>0</v>
      </c>
      <c r="AA68" s="6">
        <v>285.7</v>
      </c>
      <c r="AB68" s="6">
        <f>R68-X68-Y68</f>
      </c>
      <c r="AC68" s="6">
        <f>U68+V68+W68</f>
      </c>
      <c r="AD68" s="7">
        <v>46112</v>
      </c>
      <c r="AE68" t="s">
        <v>176</v>
      </c>
      <c r="AF68" s="8">
        <f>R68-S68+T68-U68-V68-W68-X68-Y68-Z68-AA68</f>
      </c>
    </row>
    <row r="69" spans="1:32" x14ac:dyDescent="0.25">
      <c r="A69" s="5">
        <v>46108</v>
      </c>
      <c r="B69" s="5">
        <v>46108</v>
      </c>
      <c r="C69" s="5">
        <v>82961</v>
      </c>
      <c r="D69">
        <v>48164</v>
      </c>
      <c r="E69" t="s">
        <v>177</v>
      </c>
      <c r="F69" t="s">
        <v>39</v>
      </c>
      <c r="G69" t="s">
        <v>35</v>
      </c>
      <c r="H69" t="s">
        <v>178</v>
      </c>
      <c r="I69" s="6">
        <v>472</v>
      </c>
      <c r="J69" s="6">
        <v>0</v>
      </c>
      <c r="K69" s="6">
        <v>0</v>
      </c>
      <c r="L69" s="6"/>
      <c r="M69" s="6"/>
      <c r="N69" s="6"/>
      <c r="O69" s="6"/>
      <c r="P69" s="6"/>
      <c r="Q69" s="6"/>
      <c r="R69" s="6">
        <v>472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31.15</v>
      </c>
      <c r="Y69" s="6">
        <v>0</v>
      </c>
      <c r="Z69" s="6">
        <v>0</v>
      </c>
      <c r="AA69" s="6">
        <v>440.85</v>
      </c>
      <c r="AB69" s="6">
        <f>R69-X69-Y69</f>
      </c>
      <c r="AC69" s="6">
        <f>U69+V69+W69</f>
      </c>
      <c r="AD69" s="7">
        <v>46112</v>
      </c>
      <c r="AE69" t="s">
        <v>44</v>
      </c>
      <c r="AF69" s="8">
        <f>R69-S69+T69-U69-V69-W69-X69-Y69-Z69-AA69</f>
      </c>
    </row>
    <row r="70" spans="1:32" x14ac:dyDescent="0.25">
      <c r="A70" s="5">
        <v>46108</v>
      </c>
      <c r="B70" s="5">
        <v>46108</v>
      </c>
      <c r="C70" s="5">
        <v>15262</v>
      </c>
      <c r="D70">
        <v>48183</v>
      </c>
      <c r="E70" t="s">
        <v>179</v>
      </c>
      <c r="F70" t="s">
        <v>39</v>
      </c>
      <c r="G70" t="s">
        <v>35</v>
      </c>
      <c r="H70" t="s">
        <v>180</v>
      </c>
      <c r="I70" s="6">
        <v>439.79</v>
      </c>
      <c r="J70" s="6">
        <v>199.49</v>
      </c>
      <c r="K70" s="6">
        <v>0</v>
      </c>
      <c r="L70" s="6"/>
      <c r="M70" s="6"/>
      <c r="N70" s="6"/>
      <c r="O70" s="6"/>
      <c r="P70" s="6"/>
      <c r="Q70" s="6"/>
      <c r="R70" s="6">
        <v>639.28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42.19</v>
      </c>
      <c r="Y70" s="6">
        <v>0</v>
      </c>
      <c r="Z70" s="6">
        <v>0</v>
      </c>
      <c r="AA70" s="6">
        <v>597.09</v>
      </c>
      <c r="AB70" s="6">
        <f>R70-X70-Y70</f>
      </c>
      <c r="AC70" s="6">
        <f>U70+V70+W70</f>
      </c>
      <c r="AD70" s="7">
        <v>46112</v>
      </c>
      <c r="AE70" t="s">
        <v>176</v>
      </c>
      <c r="AF70" s="8">
        <f>R70-S70+T70-U70-V70-W70-X70-Y70-Z70-AA70</f>
      </c>
    </row>
    <row r="71" spans="1:32" x14ac:dyDescent="0.25">
      <c r="A71" s="5">
        <v>46108</v>
      </c>
      <c r="B71" s="5">
        <v>46108</v>
      </c>
      <c r="C71" s="5">
        <v>82807</v>
      </c>
      <c r="D71">
        <v>48179</v>
      </c>
      <c r="E71" t="s">
        <v>181</v>
      </c>
      <c r="F71" t="s">
        <v>73</v>
      </c>
      <c r="G71" t="s">
        <v>35</v>
      </c>
      <c r="H71" t="s">
        <v>182</v>
      </c>
      <c r="I71" s="6">
        <v>2344.3</v>
      </c>
      <c r="J71" s="6">
        <v>70.19</v>
      </c>
      <c r="K71" s="6">
        <v>0</v>
      </c>
      <c r="L71" s="6"/>
      <c r="M71" s="6"/>
      <c r="N71" s="6"/>
      <c r="O71" s="6"/>
      <c r="P71" s="6"/>
      <c r="Q71" s="6"/>
      <c r="R71" s="6">
        <v>2414.49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159.36</v>
      </c>
      <c r="Y71" s="6">
        <v>0</v>
      </c>
      <c r="Z71" s="6">
        <v>0</v>
      </c>
      <c r="AA71" s="6">
        <v>2255.13</v>
      </c>
      <c r="AB71" s="6">
        <f>R71-X71-Y71</f>
      </c>
      <c r="AC71" s="6">
        <f>U71+V71+W71</f>
      </c>
      <c r="AD71" s="7">
        <v>46112</v>
      </c>
      <c r="AE71" t="s">
        <v>68</v>
      </c>
      <c r="AF71" s="8">
        <f>R71-S71+T71-U71-V71-W71-X71-Y71-Z71-AA71</f>
      </c>
    </row>
    <row r="72" spans="1:32" x14ac:dyDescent="0.25">
      <c r="A72" s="5">
        <v>46108</v>
      </c>
      <c r="B72" s="5">
        <v>46108</v>
      </c>
      <c r="C72" s="5">
        <v>8324</v>
      </c>
      <c r="D72">
        <v>48147</v>
      </c>
      <c r="E72" t="s">
        <v>183</v>
      </c>
      <c r="F72" t="s">
        <v>184</v>
      </c>
      <c r="G72" t="s">
        <v>35</v>
      </c>
      <c r="H72" t="s">
        <v>185</v>
      </c>
      <c r="I72" s="6">
        <v>457.4</v>
      </c>
      <c r="J72" s="6">
        <v>358.46</v>
      </c>
      <c r="K72" s="6">
        <v>0</v>
      </c>
      <c r="L72" s="6"/>
      <c r="M72" s="6"/>
      <c r="N72" s="6"/>
      <c r="O72" s="6"/>
      <c r="P72" s="6"/>
      <c r="Q72" s="6"/>
      <c r="R72" s="6">
        <v>815.86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815.86</v>
      </c>
      <c r="AB72" s="6">
        <f>R72-X72-Y72</f>
      </c>
      <c r="AC72" s="6">
        <f>U72+V72+W72</f>
      </c>
      <c r="AD72" s="7">
        <v>46112</v>
      </c>
      <c r="AE72" t="s">
        <v>37</v>
      </c>
      <c r="AF72" s="8">
        <f>R72-S72+T72-U72-V72-W72-X72-Y72-Z72-AA72</f>
      </c>
    </row>
    <row r="73" spans="1:32" x14ac:dyDescent="0.25">
      <c r="A73" s="5">
        <v>46108</v>
      </c>
      <c r="B73" s="5">
        <v>46108</v>
      </c>
      <c r="C73" s="5">
        <v>15346</v>
      </c>
      <c r="D73">
        <v>48170</v>
      </c>
      <c r="E73" t="s">
        <v>186</v>
      </c>
      <c r="F73" t="s">
        <v>73</v>
      </c>
      <c r="G73" t="s">
        <v>35</v>
      </c>
      <c r="H73" t="s">
        <v>187</v>
      </c>
      <c r="I73" s="6">
        <v>4411.53</v>
      </c>
      <c r="J73" s="6">
        <v>49.4</v>
      </c>
      <c r="K73" s="6">
        <v>0</v>
      </c>
      <c r="L73" s="6"/>
      <c r="M73" s="6"/>
      <c r="N73" s="6"/>
      <c r="O73" s="6"/>
      <c r="P73" s="6"/>
      <c r="Q73" s="6"/>
      <c r="R73" s="6">
        <v>4460.93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294.42</v>
      </c>
      <c r="Y73" s="6">
        <v>0</v>
      </c>
      <c r="Z73" s="6">
        <v>0</v>
      </c>
      <c r="AA73" s="6">
        <v>4166.51</v>
      </c>
      <c r="AB73" s="6">
        <f>R73-X73-Y73</f>
      </c>
      <c r="AC73" s="6">
        <f>U73+V73+W73</f>
      </c>
      <c r="AD73" s="7">
        <v>46112</v>
      </c>
      <c r="AE73" t="s">
        <v>61</v>
      </c>
      <c r="AF73" s="8">
        <f>R73-S73+T73-U73-V73-W73-X73-Y73-Z73-AA73</f>
      </c>
    </row>
    <row r="74" spans="1:32" x14ac:dyDescent="0.25">
      <c r="A74" s="5">
        <v>46108</v>
      </c>
      <c r="B74" s="5">
        <v>46108</v>
      </c>
      <c r="C74" s="5">
        <v>15333</v>
      </c>
      <c r="D74">
        <v>48197</v>
      </c>
      <c r="E74" t="s">
        <v>188</v>
      </c>
      <c r="F74" t="s">
        <v>34</v>
      </c>
      <c r="G74" t="s">
        <v>35</v>
      </c>
      <c r="H74" t="s">
        <v>189</v>
      </c>
      <c r="I74" s="6">
        <v>2526.88</v>
      </c>
      <c r="J74" s="6">
        <v>58.32</v>
      </c>
      <c r="K74" s="6">
        <v>0</v>
      </c>
      <c r="L74" s="6"/>
      <c r="M74" s="6"/>
      <c r="N74" s="6"/>
      <c r="O74" s="6"/>
      <c r="P74" s="6"/>
      <c r="Q74" s="6"/>
      <c r="R74" s="6">
        <v>2585.2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170.62</v>
      </c>
      <c r="Y74" s="6">
        <v>51.7</v>
      </c>
      <c r="Z74" s="6">
        <v>0</v>
      </c>
      <c r="AA74" s="6">
        <v>2362.88</v>
      </c>
      <c r="AB74" s="6">
        <f>R74-X74-Y74</f>
      </c>
      <c r="AC74" s="6">
        <f>U74+V74+W74</f>
      </c>
      <c r="AD74" s="7">
        <v>46112</v>
      </c>
      <c r="AE74" t="s">
        <v>48</v>
      </c>
      <c r="AF74" s="8">
        <f>R74-S74+T74-U74-V74-W74-X74-Y74-Z74-AA74</f>
      </c>
    </row>
    <row r="75" spans="1:32" x14ac:dyDescent="0.25">
      <c r="A75" s="5">
        <v>46108</v>
      </c>
      <c r="B75" s="5">
        <v>46108</v>
      </c>
      <c r="C75" s="5">
        <v>9204</v>
      </c>
      <c r="D75">
        <v>48171</v>
      </c>
      <c r="E75" t="s">
        <v>190</v>
      </c>
      <c r="F75" t="s">
        <v>39</v>
      </c>
      <c r="G75" t="s">
        <v>35</v>
      </c>
      <c r="H75" t="s">
        <v>191</v>
      </c>
      <c r="I75" s="6">
        <v>1421.12</v>
      </c>
      <c r="J75" s="6">
        <v>543.17</v>
      </c>
      <c r="K75" s="6">
        <v>0</v>
      </c>
      <c r="L75" s="6"/>
      <c r="M75" s="6"/>
      <c r="N75" s="6"/>
      <c r="O75" s="6"/>
      <c r="P75" s="6"/>
      <c r="Q75" s="6"/>
      <c r="R75" s="6">
        <v>1964.29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129.64</v>
      </c>
      <c r="Y75" s="6">
        <v>0</v>
      </c>
      <c r="Z75" s="6">
        <v>0</v>
      </c>
      <c r="AA75" s="6">
        <v>1834.65</v>
      </c>
      <c r="AB75" s="6">
        <f>R75-X75-Y75</f>
      </c>
      <c r="AC75" s="6">
        <f>U75+V75+W75</f>
      </c>
      <c r="AD75" s="7">
        <v>46112</v>
      </c>
      <c r="AE75" t="s">
        <v>37</v>
      </c>
      <c r="AF75" s="8">
        <f>R75-S75+T75-U75-V75-W75-X75-Y75-Z75-AA75</f>
      </c>
    </row>
    <row r="76" spans="1:32" x14ac:dyDescent="0.25">
      <c r="A76" s="5">
        <v>46107</v>
      </c>
      <c r="B76" s="5">
        <v>46107</v>
      </c>
      <c r="C76" s="5">
        <v>82815</v>
      </c>
      <c r="D76">
        <v>48267</v>
      </c>
      <c r="E76" t="s">
        <v>192</v>
      </c>
      <c r="F76" t="s">
        <v>46</v>
      </c>
      <c r="G76" t="s">
        <v>35</v>
      </c>
      <c r="H76" t="s">
        <v>193</v>
      </c>
      <c r="I76" s="6">
        <v>45.5</v>
      </c>
      <c r="J76" s="6">
        <v>60.22</v>
      </c>
      <c r="K76" s="6">
        <v>0</v>
      </c>
      <c r="L76" s="6"/>
      <c r="M76" s="6"/>
      <c r="N76" s="6"/>
      <c r="O76" s="6"/>
      <c r="P76" s="6"/>
      <c r="Q76" s="6"/>
      <c r="R76" s="6">
        <v>105.72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6.98</v>
      </c>
      <c r="Y76" s="6">
        <v>2.11</v>
      </c>
      <c r="Z76" s="6">
        <v>0</v>
      </c>
      <c r="AA76" s="6">
        <v>96.63</v>
      </c>
      <c r="AB76" s="6">
        <f>R76-X76-Y76</f>
      </c>
      <c r="AC76" s="6">
        <f>U76+V76+W76</f>
      </c>
      <c r="AD76" s="7">
        <v>46112</v>
      </c>
      <c r="AE76" t="s">
        <v>48</v>
      </c>
      <c r="AF76" s="8">
        <f>R76-S76+T76-U76-V76-W76-X76-Y76-Z76-AA76</f>
      </c>
    </row>
    <row r="77" spans="1:32" x14ac:dyDescent="0.25">
      <c r="A77" s="5">
        <v>46107</v>
      </c>
      <c r="B77" s="5">
        <v>46107</v>
      </c>
      <c r="C77" s="5">
        <v>82958</v>
      </c>
      <c r="D77">
        <v>48252</v>
      </c>
      <c r="E77" t="s">
        <v>194</v>
      </c>
      <c r="F77" t="s">
        <v>66</v>
      </c>
      <c r="G77" t="s">
        <v>35</v>
      </c>
      <c r="H77" t="s">
        <v>195</v>
      </c>
      <c r="I77" s="6">
        <v>78.69</v>
      </c>
      <c r="J77" s="6">
        <v>144.28</v>
      </c>
      <c r="K77" s="6">
        <v>0</v>
      </c>
      <c r="L77" s="6"/>
      <c r="M77" s="6"/>
      <c r="N77" s="6"/>
      <c r="O77" s="6"/>
      <c r="P77" s="6"/>
      <c r="Q77" s="6"/>
      <c r="R77" s="6">
        <v>222.97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14.72</v>
      </c>
      <c r="Y77" s="6">
        <v>4.46</v>
      </c>
      <c r="Z77" s="6">
        <v>0</v>
      </c>
      <c r="AA77" s="6">
        <v>203.79</v>
      </c>
      <c r="AB77" s="6">
        <f>R77-X77-Y77</f>
      </c>
      <c r="AC77" s="6">
        <f>U77+V77+W77</f>
      </c>
      <c r="AD77" s="7">
        <v>46112</v>
      </c>
      <c r="AE77" t="s">
        <v>68</v>
      </c>
      <c r="AF77" s="8">
        <f>R77-S77+T77-U77-V77-W77-X77-Y77-Z77-AA77</f>
      </c>
    </row>
    <row r="78" spans="1:32" x14ac:dyDescent="0.25">
      <c r="A78" s="5">
        <v>46107</v>
      </c>
      <c r="B78" s="5">
        <v>46107</v>
      </c>
      <c r="C78" s="5">
        <v>82871</v>
      </c>
      <c r="D78">
        <v>48253</v>
      </c>
      <c r="E78" t="s">
        <v>196</v>
      </c>
      <c r="F78" t="s">
        <v>46</v>
      </c>
      <c r="G78" t="s">
        <v>35</v>
      </c>
      <c r="H78" t="s">
        <v>197</v>
      </c>
      <c r="I78" s="6">
        <v>1064.9699999999998</v>
      </c>
      <c r="J78" s="6">
        <v>949.65</v>
      </c>
      <c r="K78" s="6">
        <v>0</v>
      </c>
      <c r="L78" s="6"/>
      <c r="M78" s="6"/>
      <c r="N78" s="6"/>
      <c r="O78" s="6"/>
      <c r="P78" s="6"/>
      <c r="Q78" s="6"/>
      <c r="R78" s="6">
        <v>2014.62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132.96</v>
      </c>
      <c r="Y78" s="6">
        <v>40.29</v>
      </c>
      <c r="Z78" s="6">
        <v>0</v>
      </c>
      <c r="AA78" s="6">
        <v>1841.37</v>
      </c>
      <c r="AB78" s="6">
        <f>R78-X78-Y78</f>
      </c>
      <c r="AC78" s="6">
        <f>U78+V78+W78</f>
      </c>
      <c r="AD78" s="7">
        <v>46112</v>
      </c>
      <c r="AE78" t="s">
        <v>64</v>
      </c>
      <c r="AF78" s="8">
        <f>R78-S78+T78-U78-V78-W78-X78-Y78-Z78-AA78</f>
      </c>
    </row>
    <row r="79" spans="1:32" x14ac:dyDescent="0.25">
      <c r="A79" s="5">
        <v>46107</v>
      </c>
      <c r="B79" s="5">
        <v>46107</v>
      </c>
      <c r="C79" s="5">
        <v>15767</v>
      </c>
      <c r="D79">
        <v>48254</v>
      </c>
      <c r="E79" t="s">
        <v>198</v>
      </c>
      <c r="F79" t="s">
        <v>46</v>
      </c>
      <c r="G79" t="s">
        <v>35</v>
      </c>
      <c r="H79" t="s">
        <v>199</v>
      </c>
      <c r="I79" s="6">
        <v>379.78</v>
      </c>
      <c r="J79" s="6">
        <v>422.67</v>
      </c>
      <c r="K79" s="6">
        <v>0</v>
      </c>
      <c r="L79" s="6"/>
      <c r="M79" s="6"/>
      <c r="N79" s="6"/>
      <c r="O79" s="6"/>
      <c r="P79" s="6"/>
      <c r="Q79" s="6"/>
      <c r="R79" s="6">
        <v>802.45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52.96</v>
      </c>
      <c r="Y79" s="6">
        <v>16.05</v>
      </c>
      <c r="Z79" s="6">
        <v>0</v>
      </c>
      <c r="AA79" s="6">
        <v>733.44</v>
      </c>
      <c r="AB79" s="6">
        <f>R79-X79-Y79</f>
      </c>
      <c r="AC79" s="6">
        <f>U79+V79+W79</f>
      </c>
      <c r="AD79" s="7">
        <v>46112</v>
      </c>
      <c r="AE79" t="s">
        <v>37</v>
      </c>
      <c r="AF79" s="8">
        <f>R79-S79+T79-U79-V79-W79-X79-Y79-Z79-AA79</f>
      </c>
    </row>
    <row r="80" spans="1:32" x14ac:dyDescent="0.25">
      <c r="A80" s="5">
        <v>46107</v>
      </c>
      <c r="B80" s="5">
        <v>46107</v>
      </c>
      <c r="C80" s="5">
        <v>82873</v>
      </c>
      <c r="D80">
        <v>48255</v>
      </c>
      <c r="E80" t="s">
        <v>200</v>
      </c>
      <c r="F80" t="s">
        <v>46</v>
      </c>
      <c r="G80" t="s">
        <v>35</v>
      </c>
      <c r="H80" t="s">
        <v>199</v>
      </c>
      <c r="I80" s="6">
        <v>1468.86</v>
      </c>
      <c r="J80" s="6">
        <v>923.33</v>
      </c>
      <c r="K80" s="6">
        <v>0</v>
      </c>
      <c r="L80" s="6"/>
      <c r="M80" s="6"/>
      <c r="N80" s="6"/>
      <c r="O80" s="6"/>
      <c r="P80" s="6"/>
      <c r="Q80" s="6"/>
      <c r="R80" s="6">
        <v>2392.19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157.88</v>
      </c>
      <c r="Y80" s="6">
        <v>47.84</v>
      </c>
      <c r="Z80" s="6">
        <v>0</v>
      </c>
      <c r="AA80" s="6">
        <v>2186.47</v>
      </c>
      <c r="AB80" s="6">
        <f>R80-X80-Y80</f>
      </c>
      <c r="AC80" s="6">
        <f>U80+V80+W80</f>
      </c>
      <c r="AD80" s="7">
        <v>46112</v>
      </c>
      <c r="AE80" t="s">
        <v>37</v>
      </c>
      <c r="AF80" s="8">
        <f>R80-S80+T80-U80-V80-W80-X80-Y80-Z80-AA80</f>
      </c>
    </row>
    <row r="81" spans="1:32" x14ac:dyDescent="0.25">
      <c r="A81" s="5">
        <v>46108</v>
      </c>
      <c r="B81" s="5">
        <v>46108</v>
      </c>
      <c r="C81" s="5">
        <v>15505</v>
      </c>
      <c r="D81">
        <v>48198</v>
      </c>
      <c r="E81" t="s">
        <v>201</v>
      </c>
      <c r="F81" t="s">
        <v>39</v>
      </c>
      <c r="G81" t="s">
        <v>35</v>
      </c>
      <c r="H81" t="s">
        <v>202</v>
      </c>
      <c r="I81" s="6">
        <v>93.71</v>
      </c>
      <c r="J81" s="6">
        <v>0</v>
      </c>
      <c r="K81" s="6">
        <v>0</v>
      </c>
      <c r="L81" s="6"/>
      <c r="M81" s="6"/>
      <c r="N81" s="6"/>
      <c r="O81" s="6"/>
      <c r="P81" s="6"/>
      <c r="Q81" s="6"/>
      <c r="R81" s="6">
        <v>93.71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6.18</v>
      </c>
      <c r="Y81" s="6">
        <v>0</v>
      </c>
      <c r="Z81" s="6">
        <v>0</v>
      </c>
      <c r="AA81" s="6">
        <v>87.53</v>
      </c>
      <c r="AB81" s="6">
        <f>R81-X81-Y81</f>
      </c>
      <c r="AC81" s="6">
        <f>U81+V81+W81</f>
      </c>
      <c r="AD81" s="7">
        <v>46112</v>
      </c>
      <c r="AE81" t="s">
        <v>64</v>
      </c>
      <c r="AF81" s="8">
        <f>R81-S81+T81-U81-V81-W81-X81-Y81-Z81-AA81</f>
      </c>
    </row>
    <row r="82" spans="1:32" x14ac:dyDescent="0.25">
      <c r="A82" s="5">
        <v>46107</v>
      </c>
      <c r="B82" s="5">
        <v>46107</v>
      </c>
      <c r="C82" s="5">
        <v>9399</v>
      </c>
      <c r="D82">
        <v>48268</v>
      </c>
      <c r="E82" t="s">
        <v>203</v>
      </c>
      <c r="F82" t="s">
        <v>46</v>
      </c>
      <c r="G82" t="s">
        <v>35</v>
      </c>
      <c r="H82" t="s">
        <v>204</v>
      </c>
      <c r="I82" s="6">
        <v>1070.32</v>
      </c>
      <c r="J82" s="6">
        <v>617.91</v>
      </c>
      <c r="K82" s="6">
        <v>0</v>
      </c>
      <c r="L82" s="6"/>
      <c r="M82" s="6"/>
      <c r="N82" s="6"/>
      <c r="O82" s="6"/>
      <c r="P82" s="6"/>
      <c r="Q82" s="6"/>
      <c r="R82" s="6">
        <v>1688.23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111.42</v>
      </c>
      <c r="Y82" s="6">
        <v>33.76</v>
      </c>
      <c r="Z82" s="6">
        <v>0</v>
      </c>
      <c r="AA82" s="6">
        <v>1543.05</v>
      </c>
      <c r="AB82" s="6">
        <f>R82-X82-Y82</f>
      </c>
      <c r="AC82" s="6">
        <f>U82+V82+W82</f>
      </c>
      <c r="AD82" s="7">
        <v>46112</v>
      </c>
      <c r="AE82" t="s">
        <v>37</v>
      </c>
      <c r="AF82" s="8">
        <f>R82-S82+T82-U82-V82-W82-X82-Y82-Z82-AA82</f>
      </c>
    </row>
    <row r="83" spans="1:32" x14ac:dyDescent="0.25">
      <c r="A83" s="5">
        <v>46107</v>
      </c>
      <c r="B83" s="5">
        <v>46107</v>
      </c>
      <c r="C83" s="5">
        <v>82899</v>
      </c>
      <c r="D83">
        <v>48287</v>
      </c>
      <c r="E83" t="s">
        <v>205</v>
      </c>
      <c r="F83" t="s">
        <v>46</v>
      </c>
      <c r="G83" t="s">
        <v>35</v>
      </c>
      <c r="H83" t="s">
        <v>206</v>
      </c>
      <c r="I83" s="6">
        <v>444.16</v>
      </c>
      <c r="J83" s="6">
        <v>814.32</v>
      </c>
      <c r="K83" s="6">
        <v>0</v>
      </c>
      <c r="L83" s="6"/>
      <c r="M83" s="6"/>
      <c r="N83" s="6"/>
      <c r="O83" s="6"/>
      <c r="P83" s="6"/>
      <c r="Q83" s="6"/>
      <c r="R83" s="6">
        <v>1258.48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83.06</v>
      </c>
      <c r="Y83" s="6">
        <v>25.17</v>
      </c>
      <c r="Z83" s="6">
        <v>0</v>
      </c>
      <c r="AA83" s="6">
        <v>1150.25</v>
      </c>
      <c r="AB83" s="6">
        <f>R83-X83-Y83</f>
      </c>
      <c r="AC83" s="6">
        <f>U83+V83+W83</f>
      </c>
      <c r="AD83" s="7">
        <v>46112</v>
      </c>
      <c r="AE83" t="s">
        <v>44</v>
      </c>
      <c r="AF83" s="8">
        <f>R83-S83+T83-U83-V83-W83-X83-Y83-Z83-AA83</f>
      </c>
    </row>
    <row r="84" spans="1:32" x14ac:dyDescent="0.25">
      <c r="A84" s="5">
        <v>46107</v>
      </c>
      <c r="B84" s="5">
        <v>46107</v>
      </c>
      <c r="C84" s="5">
        <v>15487</v>
      </c>
      <c r="D84">
        <v>48269</v>
      </c>
      <c r="E84" t="s">
        <v>207</v>
      </c>
      <c r="F84" t="s">
        <v>46</v>
      </c>
      <c r="G84" t="s">
        <v>35</v>
      </c>
      <c r="H84" t="s">
        <v>208</v>
      </c>
      <c r="I84" s="6">
        <v>687.26</v>
      </c>
      <c r="J84" s="6">
        <v>404.32</v>
      </c>
      <c r="K84" s="6">
        <v>0</v>
      </c>
      <c r="L84" s="6"/>
      <c r="M84" s="6"/>
      <c r="N84" s="6"/>
      <c r="O84" s="6"/>
      <c r="P84" s="6"/>
      <c r="Q84" s="6"/>
      <c r="R84" s="6">
        <v>1091.58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72.04</v>
      </c>
      <c r="Y84" s="6">
        <v>21.83</v>
      </c>
      <c r="Z84" s="6">
        <v>0</v>
      </c>
      <c r="AA84" s="6">
        <v>997.71</v>
      </c>
      <c r="AB84" s="6">
        <f>R84-X84-Y84</f>
      </c>
      <c r="AC84" s="6">
        <f>U84+V84+W84</f>
      </c>
      <c r="AD84" s="7">
        <v>46112</v>
      </c>
      <c r="AE84" t="s">
        <v>48</v>
      </c>
      <c r="AF84" s="8">
        <f>R84-S84+T84-U84-V84-W84-X84-Y84-Z84-AA84</f>
      </c>
    </row>
    <row r="85" spans="1:32" x14ac:dyDescent="0.25">
      <c r="A85" s="5">
        <v>46107</v>
      </c>
      <c r="B85" s="5">
        <v>46107</v>
      </c>
      <c r="C85" s="5">
        <v>15661</v>
      </c>
      <c r="D85">
        <v>48270</v>
      </c>
      <c r="E85" t="s">
        <v>209</v>
      </c>
      <c r="F85" t="s">
        <v>46</v>
      </c>
      <c r="G85" t="s">
        <v>35</v>
      </c>
      <c r="H85" t="s">
        <v>208</v>
      </c>
      <c r="I85" s="6">
        <v>307.36</v>
      </c>
      <c r="J85" s="6">
        <v>287.19</v>
      </c>
      <c r="K85" s="6">
        <v>0</v>
      </c>
      <c r="L85" s="6"/>
      <c r="M85" s="6"/>
      <c r="N85" s="6"/>
      <c r="O85" s="6"/>
      <c r="P85" s="6"/>
      <c r="Q85" s="6"/>
      <c r="R85" s="6">
        <v>594.55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39.24</v>
      </c>
      <c r="Y85" s="6">
        <v>11.89</v>
      </c>
      <c r="Z85" s="6">
        <v>0</v>
      </c>
      <c r="AA85" s="6">
        <v>543.42</v>
      </c>
      <c r="AB85" s="6">
        <f>R85-X85-Y85</f>
      </c>
      <c r="AC85" s="6">
        <f>U85+V85+W85</f>
      </c>
      <c r="AD85" s="7">
        <v>46112</v>
      </c>
      <c r="AE85" t="s">
        <v>48</v>
      </c>
      <c r="AF85" s="8">
        <f>R85-S85+T85-U85-V85-W85-X85-Y85-Z85-AA85</f>
      </c>
    </row>
    <row r="86" spans="1:32" x14ac:dyDescent="0.25">
      <c r="A86" s="5">
        <v>46107</v>
      </c>
      <c r="B86" s="5">
        <v>46107</v>
      </c>
      <c r="C86" s="5">
        <v>82972</v>
      </c>
      <c r="D86">
        <v>48256</v>
      </c>
      <c r="E86" t="s">
        <v>210</v>
      </c>
      <c r="F86" t="s">
        <v>46</v>
      </c>
      <c r="G86" t="s">
        <v>35</v>
      </c>
      <c r="H86" t="s">
        <v>211</v>
      </c>
      <c r="I86" s="6">
        <v>72.98</v>
      </c>
      <c r="J86" s="6">
        <v>121.87</v>
      </c>
      <c r="K86" s="6">
        <v>0</v>
      </c>
      <c r="L86" s="6"/>
      <c r="M86" s="6"/>
      <c r="N86" s="6"/>
      <c r="O86" s="6"/>
      <c r="P86" s="6"/>
      <c r="Q86" s="6"/>
      <c r="R86" s="6">
        <v>194.85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12.86</v>
      </c>
      <c r="Y86" s="6">
        <v>3.9</v>
      </c>
      <c r="Z86" s="6">
        <v>0</v>
      </c>
      <c r="AA86" s="6">
        <v>178.09</v>
      </c>
      <c r="AB86" s="6">
        <f>R86-X86-Y86</f>
      </c>
      <c r="AC86" s="6">
        <f>U86+V86+W86</f>
      </c>
      <c r="AD86" s="7">
        <v>46112</v>
      </c>
      <c r="AE86" t="s">
        <v>41</v>
      </c>
      <c r="AF86" s="8">
        <f>R86-S86+T86-U86-V86-W86-X86-Y86-Z86-AA86</f>
      </c>
    </row>
    <row r="87" spans="1:32" x14ac:dyDescent="0.25">
      <c r="A87" s="5">
        <v>46108</v>
      </c>
      <c r="B87" s="5">
        <v>46108</v>
      </c>
      <c r="C87" s="5">
        <v>9660</v>
      </c>
      <c r="D87">
        <v>48076</v>
      </c>
      <c r="E87" t="s">
        <v>212</v>
      </c>
      <c r="F87" t="s">
        <v>73</v>
      </c>
      <c r="G87" t="s">
        <v>35</v>
      </c>
      <c r="H87" t="s">
        <v>213</v>
      </c>
      <c r="I87" s="6">
        <v>202.87</v>
      </c>
      <c r="J87" s="6">
        <v>61.87</v>
      </c>
      <c r="K87" s="6">
        <v>0</v>
      </c>
      <c r="L87" s="6"/>
      <c r="M87" s="6"/>
      <c r="N87" s="6"/>
      <c r="O87" s="6"/>
      <c r="P87" s="6"/>
      <c r="Q87" s="6"/>
      <c r="R87" s="6">
        <v>264.74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17.47</v>
      </c>
      <c r="Y87" s="6">
        <v>0</v>
      </c>
      <c r="Z87" s="6">
        <v>0</v>
      </c>
      <c r="AA87" s="6">
        <v>247.27</v>
      </c>
      <c r="AB87" s="6">
        <f>R87-X87-Y87</f>
      </c>
      <c r="AC87" s="6">
        <f>U87+V87+W87</f>
      </c>
      <c r="AD87" s="7">
        <v>46112</v>
      </c>
      <c r="AE87" t="s">
        <v>68</v>
      </c>
      <c r="AF87" s="8">
        <f>R87-S87+T87-U87-V87-W87-X87-Y87-Z87-AA87</f>
      </c>
    </row>
    <row r="88" spans="1:32" x14ac:dyDescent="0.25">
      <c r="A88" s="5">
        <v>46108</v>
      </c>
      <c r="B88" s="5">
        <v>46108</v>
      </c>
      <c r="C88" s="5">
        <v>15533</v>
      </c>
      <c r="D88">
        <v>48051</v>
      </c>
      <c r="E88" t="s">
        <v>214</v>
      </c>
      <c r="F88" t="s">
        <v>39</v>
      </c>
      <c r="G88" t="s">
        <v>35</v>
      </c>
      <c r="H88" t="s">
        <v>215</v>
      </c>
      <c r="I88" s="6">
        <v>6596.34</v>
      </c>
      <c r="J88" s="6">
        <v>449.7</v>
      </c>
      <c r="K88" s="6">
        <v>0</v>
      </c>
      <c r="L88" s="6"/>
      <c r="M88" s="6"/>
      <c r="N88" s="6"/>
      <c r="O88" s="6"/>
      <c r="P88" s="6"/>
      <c r="Q88" s="6"/>
      <c r="R88" s="6">
        <v>7046.04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465.04</v>
      </c>
      <c r="Y88" s="6">
        <v>0</v>
      </c>
      <c r="Z88" s="6">
        <v>896.92</v>
      </c>
      <c r="AA88" s="6">
        <v>5684.08</v>
      </c>
      <c r="AB88" s="6">
        <f>R88-X88-Y88</f>
      </c>
      <c r="AC88" s="6">
        <f>U88+V88+W88</f>
      </c>
      <c r="AD88" s="7">
        <v>46112</v>
      </c>
      <c r="AE88" t="s">
        <v>44</v>
      </c>
      <c r="AF88" s="8">
        <f>R88-S88+T88-U88-V88-W88-X88-Y88-Z88-AA88</f>
      </c>
    </row>
    <row r="89" spans="1:32" x14ac:dyDescent="0.25">
      <c r="A89" s="5">
        <v>46108</v>
      </c>
      <c r="B89" s="5">
        <v>46108</v>
      </c>
      <c r="C89" s="5">
        <v>9248</v>
      </c>
      <c r="D89">
        <v>48146</v>
      </c>
      <c r="E89" t="s">
        <v>216</v>
      </c>
      <c r="F89" t="s">
        <v>73</v>
      </c>
      <c r="G89" t="s">
        <v>35</v>
      </c>
      <c r="H89" t="s">
        <v>217</v>
      </c>
      <c r="I89" s="6">
        <v>39.64</v>
      </c>
      <c r="J89" s="6">
        <v>39.64</v>
      </c>
      <c r="K89" s="6">
        <v>0</v>
      </c>
      <c r="L89" s="6"/>
      <c r="M89" s="6"/>
      <c r="N89" s="6"/>
      <c r="O89" s="6"/>
      <c r="P89" s="6"/>
      <c r="Q89" s="6"/>
      <c r="R89" s="6">
        <v>79.28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5.23</v>
      </c>
      <c r="Y89" s="6">
        <v>0</v>
      </c>
      <c r="Z89" s="6">
        <v>0</v>
      </c>
      <c r="AA89" s="6">
        <v>74.05</v>
      </c>
      <c r="AB89" s="6">
        <f>R89-X89-Y89</f>
      </c>
      <c r="AC89" s="6">
        <f>U89+V89+W89</f>
      </c>
      <c r="AD89" s="7">
        <v>46112</v>
      </c>
      <c r="AE89" t="s">
        <v>68</v>
      </c>
      <c r="AF89" s="8">
        <f>R89-S89+T89-U89-V89-W89-X89-Y89-Z89-AA89</f>
      </c>
    </row>
    <row r="90" spans="1:32" x14ac:dyDescent="0.25">
      <c r="A90" s="5">
        <v>46108</v>
      </c>
      <c r="B90" s="5">
        <v>46108</v>
      </c>
      <c r="C90" s="5">
        <v>9834</v>
      </c>
      <c r="D90">
        <v>48049</v>
      </c>
      <c r="E90" t="s">
        <v>218</v>
      </c>
      <c r="F90" t="s">
        <v>73</v>
      </c>
      <c r="G90" t="s">
        <v>35</v>
      </c>
      <c r="H90" t="s">
        <v>219</v>
      </c>
      <c r="I90" s="6">
        <v>583.53</v>
      </c>
      <c r="J90" s="6">
        <v>0</v>
      </c>
      <c r="K90" s="6">
        <v>0</v>
      </c>
      <c r="L90" s="6"/>
      <c r="M90" s="6"/>
      <c r="N90" s="6"/>
      <c r="O90" s="6"/>
      <c r="P90" s="6"/>
      <c r="Q90" s="6"/>
      <c r="R90" s="6">
        <v>583.53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38.51</v>
      </c>
      <c r="Y90" s="6">
        <v>0</v>
      </c>
      <c r="Z90" s="6">
        <v>0</v>
      </c>
      <c r="AA90" s="6">
        <v>545.02</v>
      </c>
      <c r="AB90" s="6">
        <f>R90-X90-Y90</f>
      </c>
      <c r="AC90" s="6">
        <f>U90+V90+W90</f>
      </c>
      <c r="AD90" s="7">
        <v>46112</v>
      </c>
      <c r="AE90" t="s">
        <v>68</v>
      </c>
      <c r="AF90" s="8">
        <f>R90-S90+T90-U90-V90-W90-X90-Y90-Z90-AA90</f>
      </c>
    </row>
    <row r="91" spans="1:32" x14ac:dyDescent="0.25">
      <c r="A91" s="5">
        <v>46107</v>
      </c>
      <c r="B91" s="5">
        <v>46107</v>
      </c>
      <c r="C91" s="5">
        <v>82766</v>
      </c>
      <c r="D91">
        <v>48271</v>
      </c>
      <c r="E91" t="s">
        <v>220</v>
      </c>
      <c r="F91" t="s">
        <v>66</v>
      </c>
      <c r="G91" t="s">
        <v>35</v>
      </c>
      <c r="H91" t="s">
        <v>221</v>
      </c>
      <c r="I91" s="6">
        <v>732.19</v>
      </c>
      <c r="J91" s="6">
        <v>744.06</v>
      </c>
      <c r="K91" s="6">
        <v>0</v>
      </c>
      <c r="L91" s="6"/>
      <c r="M91" s="6"/>
      <c r="N91" s="6"/>
      <c r="O91" s="6"/>
      <c r="P91" s="6"/>
      <c r="Q91" s="6"/>
      <c r="R91" s="6">
        <v>1476.25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97.43</v>
      </c>
      <c r="Y91" s="6">
        <v>29.52</v>
      </c>
      <c r="Z91" s="6">
        <v>0</v>
      </c>
      <c r="AA91" s="6">
        <v>1349.3</v>
      </c>
      <c r="AB91" s="6">
        <f>R91-X91-Y91</f>
      </c>
      <c r="AC91" s="6">
        <f>U91+V91+W91</f>
      </c>
      <c r="AD91" s="7">
        <v>46112</v>
      </c>
      <c r="AE91" t="s">
        <v>68</v>
      </c>
      <c r="AF91" s="8">
        <f>R91-S91+T91-U91-V91-W91-X91-Y91-Z91-AA91</f>
      </c>
    </row>
    <row r="92" spans="1:32" x14ac:dyDescent="0.25">
      <c r="A92" s="5">
        <v>46108</v>
      </c>
      <c r="B92" s="5">
        <v>46108</v>
      </c>
      <c r="C92" s="5">
        <v>7718</v>
      </c>
      <c r="D92">
        <v>48127</v>
      </c>
      <c r="E92" t="s">
        <v>222</v>
      </c>
      <c r="F92" t="s">
        <v>73</v>
      </c>
      <c r="G92" t="s">
        <v>35</v>
      </c>
      <c r="H92" t="s">
        <v>223</v>
      </c>
      <c r="I92" s="6">
        <v>2307.43</v>
      </c>
      <c r="J92" s="6">
        <v>644.77</v>
      </c>
      <c r="K92" s="6">
        <v>0</v>
      </c>
      <c r="L92" s="6"/>
      <c r="M92" s="6"/>
      <c r="N92" s="6"/>
      <c r="O92" s="6"/>
      <c r="P92" s="6"/>
      <c r="Q92" s="6"/>
      <c r="R92" s="6">
        <v>2952.2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194.85</v>
      </c>
      <c r="Y92" s="6">
        <v>0</v>
      </c>
      <c r="Z92" s="6">
        <v>0</v>
      </c>
      <c r="AA92" s="6">
        <v>2757.35</v>
      </c>
      <c r="AB92" s="6">
        <f>R92-X92-Y92</f>
      </c>
      <c r="AC92" s="6">
        <f>U92+V92+W92</f>
      </c>
      <c r="AD92" s="7">
        <v>46112</v>
      </c>
      <c r="AE92" t="s">
        <v>68</v>
      </c>
      <c r="AF92" s="8">
        <f>R92-S92+T92-U92-V92-W92-X92-Y92-Z92-AA92</f>
      </c>
    </row>
    <row r="93" spans="1:32" x14ac:dyDescent="0.25">
      <c r="A93" s="5">
        <v>46107</v>
      </c>
      <c r="B93" s="5">
        <v>46107</v>
      </c>
      <c r="C93" s="5">
        <v>15342</v>
      </c>
      <c r="D93">
        <v>48272</v>
      </c>
      <c r="E93" t="s">
        <v>224</v>
      </c>
      <c r="F93" t="s">
        <v>46</v>
      </c>
      <c r="G93" t="s">
        <v>35</v>
      </c>
      <c r="H93" t="s">
        <v>225</v>
      </c>
      <c r="I93" s="6">
        <v>491.25</v>
      </c>
      <c r="J93" s="6">
        <v>440.12</v>
      </c>
      <c r="K93" s="6">
        <v>0</v>
      </c>
      <c r="L93" s="6"/>
      <c r="M93" s="6"/>
      <c r="N93" s="6"/>
      <c r="O93" s="6"/>
      <c r="P93" s="6"/>
      <c r="Q93" s="6"/>
      <c r="R93" s="6">
        <v>931.37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61.47</v>
      </c>
      <c r="Y93" s="6">
        <v>18.63</v>
      </c>
      <c r="Z93" s="6">
        <v>0</v>
      </c>
      <c r="AA93" s="6">
        <v>851.27</v>
      </c>
      <c r="AB93" s="6">
        <f>R93-X93-Y93</f>
      </c>
      <c r="AC93" s="6">
        <f>U93+V93+W93</f>
      </c>
      <c r="AD93" s="7">
        <v>46112</v>
      </c>
      <c r="AE93" t="s">
        <v>226</v>
      </c>
      <c r="AF93" s="8">
        <f>R93-S93+T93-U93-V93-W93-X93-Y93-Z93-AA93</f>
      </c>
    </row>
    <row r="94" spans="1:32" x14ac:dyDescent="0.25">
      <c r="A94" s="5">
        <v>46107</v>
      </c>
      <c r="B94" s="5">
        <v>46107</v>
      </c>
      <c r="C94" s="5">
        <v>83001</v>
      </c>
      <c r="D94">
        <v>48257</v>
      </c>
      <c r="E94" t="s">
        <v>227</v>
      </c>
      <c r="F94" t="s">
        <v>46</v>
      </c>
      <c r="G94" t="s">
        <v>35</v>
      </c>
      <c r="H94" t="s">
        <v>228</v>
      </c>
      <c r="I94" s="6">
        <v>8.79</v>
      </c>
      <c r="J94" s="6">
        <v>37.64</v>
      </c>
      <c r="K94" s="6">
        <v>0</v>
      </c>
      <c r="L94" s="6"/>
      <c r="M94" s="6"/>
      <c r="N94" s="6"/>
      <c r="O94" s="6"/>
      <c r="P94" s="6"/>
      <c r="Q94" s="6"/>
      <c r="R94" s="6">
        <v>46.43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3.06</v>
      </c>
      <c r="Y94" s="6">
        <v>0.93</v>
      </c>
      <c r="Z94" s="6">
        <v>0</v>
      </c>
      <c r="AA94" s="6">
        <v>42.44</v>
      </c>
      <c r="AB94" s="6">
        <f>R94-X94-Y94</f>
      </c>
      <c r="AC94" s="6">
        <f>U94+V94+W94</f>
      </c>
      <c r="AD94" s="7">
        <v>46112</v>
      </c>
      <c r="AE94" t="s">
        <v>48</v>
      </c>
      <c r="AF94" s="8">
        <f>R94-S94+T94-U94-V94-W94-X94-Y94-Z94-AA94</f>
      </c>
    </row>
    <row r="95" spans="1:32" x14ac:dyDescent="0.25">
      <c r="A95" s="5">
        <v>46107</v>
      </c>
      <c r="B95" s="5">
        <v>46107</v>
      </c>
      <c r="C95" s="5">
        <v>82898</v>
      </c>
      <c r="D95">
        <v>48273</v>
      </c>
      <c r="E95" t="s">
        <v>229</v>
      </c>
      <c r="F95" t="s">
        <v>46</v>
      </c>
      <c r="G95" t="s">
        <v>35</v>
      </c>
      <c r="H95" t="s">
        <v>230</v>
      </c>
      <c r="I95" s="6">
        <v>880.46</v>
      </c>
      <c r="J95" s="6">
        <v>984.58</v>
      </c>
      <c r="K95" s="6">
        <v>0</v>
      </c>
      <c r="L95" s="6"/>
      <c r="M95" s="6"/>
      <c r="N95" s="6"/>
      <c r="O95" s="6"/>
      <c r="P95" s="6"/>
      <c r="Q95" s="6"/>
      <c r="R95" s="6">
        <v>1865.04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123.09</v>
      </c>
      <c r="Y95" s="6">
        <v>37.3</v>
      </c>
      <c r="Z95" s="6">
        <v>0</v>
      </c>
      <c r="AA95" s="6">
        <v>1704.65</v>
      </c>
      <c r="AB95" s="6">
        <f>R95-X95-Y95</f>
      </c>
      <c r="AC95" s="6">
        <f>U95+V95+W95</f>
      </c>
      <c r="AD95" s="7">
        <v>46112</v>
      </c>
      <c r="AE95" t="s">
        <v>41</v>
      </c>
      <c r="AF95" s="8">
        <f>R95-S95+T95-U95-V95-W95-X95-Y95-Z95-AA95</f>
      </c>
    </row>
    <row r="96" spans="1:32" x14ac:dyDescent="0.25">
      <c r="A96" s="5">
        <v>46108</v>
      </c>
      <c r="B96" s="5">
        <v>46108</v>
      </c>
      <c r="C96" s="5">
        <v>8299</v>
      </c>
      <c r="D96">
        <v>48119</v>
      </c>
      <c r="E96" t="s">
        <v>231</v>
      </c>
      <c r="F96" t="s">
        <v>73</v>
      </c>
      <c r="G96" t="s">
        <v>35</v>
      </c>
      <c r="H96" t="s">
        <v>232</v>
      </c>
      <c r="I96" s="6">
        <v>1267.24</v>
      </c>
      <c r="J96" s="6">
        <v>248.89</v>
      </c>
      <c r="K96" s="6">
        <v>0</v>
      </c>
      <c r="L96" s="6"/>
      <c r="M96" s="6"/>
      <c r="N96" s="6"/>
      <c r="O96" s="6"/>
      <c r="P96" s="6"/>
      <c r="Q96" s="6"/>
      <c r="R96" s="6">
        <v>1516.13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100.06</v>
      </c>
      <c r="Y96" s="6">
        <v>0</v>
      </c>
      <c r="Z96" s="6">
        <v>0</v>
      </c>
      <c r="AA96" s="6">
        <v>1416.07</v>
      </c>
      <c r="AB96" s="6">
        <f>R96-X96-Y96</f>
      </c>
      <c r="AC96" s="6">
        <f>U96+V96+W96</f>
      </c>
      <c r="AD96" s="7">
        <v>46112</v>
      </c>
      <c r="AE96" t="s">
        <v>68</v>
      </c>
      <c r="AF96" s="8">
        <f>R96-S96+T96-U96-V96-W96-X96-Y96-Z96-AA96</f>
      </c>
    </row>
    <row r="97" spans="1:32" x14ac:dyDescent="0.25">
      <c r="A97" s="5">
        <v>46108</v>
      </c>
      <c r="B97" s="5">
        <v>46108</v>
      </c>
      <c r="C97" s="5">
        <v>9151</v>
      </c>
      <c r="D97">
        <v>48120</v>
      </c>
      <c r="E97" t="s">
        <v>233</v>
      </c>
      <c r="F97" t="s">
        <v>73</v>
      </c>
      <c r="G97" t="s">
        <v>35</v>
      </c>
      <c r="H97" t="s">
        <v>234</v>
      </c>
      <c r="I97" s="6">
        <v>2151.56</v>
      </c>
      <c r="J97" s="6">
        <v>605.15</v>
      </c>
      <c r="K97" s="6">
        <v>0</v>
      </c>
      <c r="L97" s="6"/>
      <c r="M97" s="6"/>
      <c r="N97" s="6"/>
      <c r="O97" s="6"/>
      <c r="P97" s="6"/>
      <c r="Q97" s="6"/>
      <c r="R97" s="6">
        <v>2756.71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181.94</v>
      </c>
      <c r="Y97" s="6">
        <v>0</v>
      </c>
      <c r="Z97" s="6">
        <v>0</v>
      </c>
      <c r="AA97" s="6">
        <v>2574.77</v>
      </c>
      <c r="AB97" s="6">
        <f>R97-X97-Y97</f>
      </c>
      <c r="AC97" s="6">
        <f>U97+V97+W97</f>
      </c>
      <c r="AD97" s="7">
        <v>46112</v>
      </c>
      <c r="AE97" t="s">
        <v>68</v>
      </c>
      <c r="AF97" s="8">
        <f>R97-S97+T97-U97-V97-W97-X97-Y97-Z97-AA97</f>
      </c>
    </row>
    <row r="98" spans="1:32" x14ac:dyDescent="0.25">
      <c r="A98" s="5">
        <v>46107</v>
      </c>
      <c r="B98" s="5">
        <v>46107</v>
      </c>
      <c r="C98" s="5">
        <v>82811</v>
      </c>
      <c r="D98">
        <v>48298</v>
      </c>
      <c r="E98" t="s">
        <v>235</v>
      </c>
      <c r="F98" t="s">
        <v>46</v>
      </c>
      <c r="G98" t="s">
        <v>35</v>
      </c>
      <c r="H98" t="s">
        <v>236</v>
      </c>
      <c r="I98" s="6">
        <v>609.26</v>
      </c>
      <c r="J98" s="6">
        <v>185.51</v>
      </c>
      <c r="K98" s="6">
        <v>0</v>
      </c>
      <c r="L98" s="6"/>
      <c r="M98" s="6"/>
      <c r="N98" s="6"/>
      <c r="O98" s="6"/>
      <c r="P98" s="6"/>
      <c r="Q98" s="6"/>
      <c r="R98" s="6">
        <v>794.77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52.45</v>
      </c>
      <c r="Y98" s="6">
        <v>15.9</v>
      </c>
      <c r="Z98" s="6">
        <v>0</v>
      </c>
      <c r="AA98" s="6">
        <v>726.42</v>
      </c>
      <c r="AB98" s="6">
        <f>R98-X98-Y98</f>
      </c>
      <c r="AC98" s="6">
        <f>U98+V98+W98</f>
      </c>
      <c r="AD98" s="7">
        <v>46112</v>
      </c>
      <c r="AE98" t="s">
        <v>48</v>
      </c>
      <c r="AF98" s="8">
        <f>R98-S98+T98-U98-V98-W98-X98-Y98-Z98-AA98</f>
      </c>
    </row>
    <row r="99" spans="1:32" x14ac:dyDescent="0.25">
      <c r="A99" s="5">
        <v>46108</v>
      </c>
      <c r="B99" s="5">
        <v>46108</v>
      </c>
      <c r="C99" s="5">
        <v>82840</v>
      </c>
      <c r="D99">
        <v>48036</v>
      </c>
      <c r="E99" t="s">
        <v>237</v>
      </c>
      <c r="F99" t="s">
        <v>39</v>
      </c>
      <c r="G99" t="s">
        <v>35</v>
      </c>
      <c r="H99" t="s">
        <v>238</v>
      </c>
      <c r="I99" s="6">
        <v>1146.8</v>
      </c>
      <c r="J99" s="6">
        <v>0</v>
      </c>
      <c r="K99" s="6">
        <v>0</v>
      </c>
      <c r="L99" s="6"/>
      <c r="M99" s="6"/>
      <c r="N99" s="6"/>
      <c r="O99" s="6"/>
      <c r="P99" s="6"/>
      <c r="Q99" s="6"/>
      <c r="R99" s="6">
        <v>1146.8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75.69</v>
      </c>
      <c r="Y99" s="6">
        <v>0</v>
      </c>
      <c r="Z99" s="6">
        <v>0</v>
      </c>
      <c r="AA99" s="6">
        <v>1071.11</v>
      </c>
      <c r="AB99" s="6">
        <f>R99-X99-Y99</f>
      </c>
      <c r="AC99" s="6">
        <f>U99+V99+W99</f>
      </c>
      <c r="AD99" s="7">
        <v>46112</v>
      </c>
      <c r="AE99" t="s">
        <v>48</v>
      </c>
      <c r="AF99" s="8">
        <f>R99-S99+T99-U99-V99-W99-X99-Y99-Z99-AA99</f>
      </c>
    </row>
    <row r="100" spans="1:32" x14ac:dyDescent="0.25">
      <c r="A100" s="5">
        <v>46107</v>
      </c>
      <c r="B100" s="5">
        <v>46107</v>
      </c>
      <c r="C100" s="5">
        <v>14740</v>
      </c>
      <c r="D100">
        <v>48288</v>
      </c>
      <c r="E100" t="s">
        <v>239</v>
      </c>
      <c r="F100" t="s">
        <v>46</v>
      </c>
      <c r="G100" t="s">
        <v>35</v>
      </c>
      <c r="H100" t="s">
        <v>240</v>
      </c>
      <c r="I100" s="6">
        <v>984.8100000000002</v>
      </c>
      <c r="J100" s="6">
        <v>1333.2</v>
      </c>
      <c r="K100" s="6">
        <v>0</v>
      </c>
      <c r="L100" s="6"/>
      <c r="M100" s="6"/>
      <c r="N100" s="6"/>
      <c r="O100" s="6"/>
      <c r="P100" s="6"/>
      <c r="Q100" s="6"/>
      <c r="R100" s="6">
        <v>2318.01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152.99</v>
      </c>
      <c r="Y100" s="6">
        <v>46.36</v>
      </c>
      <c r="Z100" s="6">
        <v>0</v>
      </c>
      <c r="AA100" s="6">
        <v>2118.66</v>
      </c>
      <c r="AB100" s="6">
        <f>R100-X100-Y100</f>
      </c>
      <c r="AC100" s="6">
        <f>U100+V100+W100</f>
      </c>
      <c r="AD100" s="7">
        <v>46112</v>
      </c>
      <c r="AE100" t="s">
        <v>37</v>
      </c>
      <c r="AF100" s="8">
        <f>R100-S100+T100-U100-V100-W100-X100-Y100-Z100-AA100</f>
      </c>
    </row>
    <row r="101" spans="1:32" x14ac:dyDescent="0.25">
      <c r="A101" s="5">
        <v>46108</v>
      </c>
      <c r="B101" s="5">
        <v>46108</v>
      </c>
      <c r="C101" s="5">
        <v>10093</v>
      </c>
      <c r="D101">
        <v>48203</v>
      </c>
      <c r="E101" t="s">
        <v>241</v>
      </c>
      <c r="F101" t="s">
        <v>73</v>
      </c>
      <c r="G101" t="s">
        <v>35</v>
      </c>
      <c r="H101" t="s">
        <v>242</v>
      </c>
      <c r="I101" s="6">
        <v>573.21</v>
      </c>
      <c r="J101" s="6">
        <v>117.94</v>
      </c>
      <c r="K101" s="6">
        <v>0</v>
      </c>
      <c r="L101" s="6"/>
      <c r="M101" s="6"/>
      <c r="N101" s="6"/>
      <c r="O101" s="6"/>
      <c r="P101" s="6"/>
      <c r="Q101" s="6"/>
      <c r="R101" s="6">
        <v>691.15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45.62</v>
      </c>
      <c r="Y101" s="6">
        <v>0</v>
      </c>
      <c r="Z101" s="6">
        <v>0</v>
      </c>
      <c r="AA101" s="6">
        <v>645.53</v>
      </c>
      <c r="AB101" s="6">
        <f>R101-X101-Y101</f>
      </c>
      <c r="AC101" s="6">
        <f>U101+V101+W101</f>
      </c>
      <c r="AD101" s="7">
        <v>46112</v>
      </c>
      <c r="AE101" t="s">
        <v>68</v>
      </c>
      <c r="AF101" s="8">
        <f>R101-S101+T101-U101-V101-W101-X101-Y101-Z101-AA101</f>
      </c>
    </row>
    <row r="102" spans="1:32" x14ac:dyDescent="0.25">
      <c r="A102" s="5">
        <v>46108</v>
      </c>
      <c r="B102" s="5">
        <v>46108</v>
      </c>
      <c r="C102" s="5">
        <v>2814</v>
      </c>
      <c r="D102">
        <v>48128</v>
      </c>
      <c r="E102" t="s">
        <v>243</v>
      </c>
      <c r="F102" t="s">
        <v>39</v>
      </c>
      <c r="G102" t="s">
        <v>35</v>
      </c>
      <c r="H102" t="s">
        <v>244</v>
      </c>
      <c r="I102" s="6">
        <v>299.04</v>
      </c>
      <c r="J102" s="6">
        <v>300.61</v>
      </c>
      <c r="K102" s="6">
        <v>0</v>
      </c>
      <c r="L102" s="6"/>
      <c r="M102" s="6"/>
      <c r="N102" s="6"/>
      <c r="O102" s="6"/>
      <c r="P102" s="6"/>
      <c r="Q102" s="6"/>
      <c r="R102" s="6">
        <v>599.65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39.58</v>
      </c>
      <c r="Y102" s="6">
        <v>0</v>
      </c>
      <c r="Z102" s="6">
        <v>0</v>
      </c>
      <c r="AA102" s="6">
        <v>560.07</v>
      </c>
      <c r="AB102" s="6">
        <f>R102-X102-Y102</f>
      </c>
      <c r="AC102" s="6">
        <f>U102+V102+W102</f>
      </c>
      <c r="AD102" s="7">
        <v>46112</v>
      </c>
      <c r="AE102" t="s">
        <v>41</v>
      </c>
      <c r="AF102" s="8">
        <f>R102-S102+T102-U102-V102-W102-X102-Y102-Z102-AA102</f>
      </c>
    </row>
    <row r="103" spans="1:32" x14ac:dyDescent="0.25">
      <c r="A103" s="5">
        <v>46108</v>
      </c>
      <c r="B103" s="5">
        <v>46108</v>
      </c>
      <c r="C103" s="5">
        <v>15536</v>
      </c>
      <c r="D103">
        <v>48215</v>
      </c>
      <c r="E103" t="s">
        <v>245</v>
      </c>
      <c r="F103" t="s">
        <v>73</v>
      </c>
      <c r="G103" t="s">
        <v>35</v>
      </c>
      <c r="H103" t="s">
        <v>246</v>
      </c>
      <c r="I103" s="6">
        <v>529.8</v>
      </c>
      <c r="J103" s="6">
        <v>297.8</v>
      </c>
      <c r="K103" s="6">
        <v>0</v>
      </c>
      <c r="L103" s="6"/>
      <c r="M103" s="6"/>
      <c r="N103" s="6"/>
      <c r="O103" s="6"/>
      <c r="P103" s="6"/>
      <c r="Q103" s="6"/>
      <c r="R103" s="6">
        <v>827.6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54.62</v>
      </c>
      <c r="Y103" s="6">
        <v>0</v>
      </c>
      <c r="Z103" s="6">
        <v>0</v>
      </c>
      <c r="AA103" s="6">
        <v>772.98</v>
      </c>
      <c r="AB103" s="6">
        <f>R103-X103-Y103</f>
      </c>
      <c r="AC103" s="6">
        <f>U103+V103+W103</f>
      </c>
      <c r="AD103" s="7">
        <v>46112</v>
      </c>
      <c r="AE103" t="s">
        <v>68</v>
      </c>
      <c r="AF103" s="8">
        <f>R103-S103+T103-U103-V103-W103-X103-Y103-Z103-AA103</f>
      </c>
    </row>
    <row r="104" spans="1:32" x14ac:dyDescent="0.25">
      <c r="A104" s="5">
        <v>46108</v>
      </c>
      <c r="B104" s="5">
        <v>46108</v>
      </c>
      <c r="C104" s="5">
        <v>8902</v>
      </c>
      <c r="D104">
        <v>48156</v>
      </c>
      <c r="E104" t="s">
        <v>247</v>
      </c>
      <c r="F104" t="s">
        <v>39</v>
      </c>
      <c r="G104" t="s">
        <v>35</v>
      </c>
      <c r="H104" t="s">
        <v>248</v>
      </c>
      <c r="I104" s="6">
        <v>3433.39</v>
      </c>
      <c r="J104" s="6">
        <v>279.97</v>
      </c>
      <c r="K104" s="6">
        <v>0</v>
      </c>
      <c r="L104" s="6"/>
      <c r="M104" s="6"/>
      <c r="N104" s="6"/>
      <c r="O104" s="6"/>
      <c r="P104" s="6"/>
      <c r="Q104" s="6"/>
      <c r="R104" s="6">
        <v>3713.36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245.08</v>
      </c>
      <c r="Y104" s="6">
        <v>0</v>
      </c>
      <c r="Z104" s="6">
        <v>0</v>
      </c>
      <c r="AA104" s="6">
        <v>3468.28</v>
      </c>
      <c r="AB104" s="6">
        <f>R104-X104-Y104</f>
      </c>
      <c r="AC104" s="6">
        <f>U104+V104+W104</f>
      </c>
      <c r="AD104" s="7">
        <v>46112</v>
      </c>
      <c r="AE104" t="s">
        <v>64</v>
      </c>
      <c r="AF104" s="8">
        <f>R104-S104+T104-U104-V104-W104-X104-Y104-Z104-AA104</f>
      </c>
    </row>
    <row r="105" spans="1:32" x14ac:dyDescent="0.25">
      <c r="A105" s="5">
        <v>46108</v>
      </c>
      <c r="B105" s="5">
        <v>46108</v>
      </c>
      <c r="C105" s="5">
        <v>8790</v>
      </c>
      <c r="D105">
        <v>48218</v>
      </c>
      <c r="E105" t="s">
        <v>249</v>
      </c>
      <c r="F105" t="s">
        <v>73</v>
      </c>
      <c r="G105" t="s">
        <v>35</v>
      </c>
      <c r="H105" t="s">
        <v>250</v>
      </c>
      <c r="I105" s="6">
        <v>1351.11</v>
      </c>
      <c r="J105" s="6">
        <v>356.76</v>
      </c>
      <c r="K105" s="6">
        <v>0</v>
      </c>
      <c r="L105" s="6"/>
      <c r="M105" s="6"/>
      <c r="N105" s="6"/>
      <c r="O105" s="6"/>
      <c r="P105" s="6"/>
      <c r="Q105" s="6"/>
      <c r="R105" s="6">
        <v>1707.87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112.72</v>
      </c>
      <c r="Y105" s="6">
        <v>0</v>
      </c>
      <c r="Z105" s="6">
        <v>0</v>
      </c>
      <c r="AA105" s="6">
        <v>1595.15</v>
      </c>
      <c r="AB105" s="6">
        <f>R105-X105-Y105</f>
      </c>
      <c r="AC105" s="6">
        <f>U105+V105+W105</f>
      </c>
      <c r="AD105" s="7">
        <v>46112</v>
      </c>
      <c r="AE105" t="s">
        <v>68</v>
      </c>
      <c r="AF105" s="8">
        <f>R105-S105+T105-U105-V105-W105-X105-Y105-Z105-AA105</f>
      </c>
    </row>
    <row r="106" spans="1:32" x14ac:dyDescent="0.25">
      <c r="A106" s="5">
        <v>46108</v>
      </c>
      <c r="B106" s="5">
        <v>46108</v>
      </c>
      <c r="C106" s="5">
        <v>16003</v>
      </c>
      <c r="D106">
        <v>48037</v>
      </c>
      <c r="E106" t="s">
        <v>251</v>
      </c>
      <c r="F106" t="s">
        <v>73</v>
      </c>
      <c r="G106" t="s">
        <v>35</v>
      </c>
      <c r="H106" t="s">
        <v>252</v>
      </c>
      <c r="I106" s="6">
        <v>300</v>
      </c>
      <c r="J106" s="6">
        <v>0</v>
      </c>
      <c r="K106" s="6">
        <v>0</v>
      </c>
      <c r="L106" s="6"/>
      <c r="M106" s="6"/>
      <c r="N106" s="6"/>
      <c r="O106" s="6"/>
      <c r="P106" s="6"/>
      <c r="Q106" s="6"/>
      <c r="R106" s="6">
        <v>300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19.8</v>
      </c>
      <c r="Y106" s="6">
        <v>0</v>
      </c>
      <c r="Z106" s="6">
        <v>0</v>
      </c>
      <c r="AA106" s="6">
        <v>280.2</v>
      </c>
      <c r="AB106" s="6">
        <f>R106-X106-Y106</f>
      </c>
      <c r="AC106" s="6">
        <f>U106+V106+W106</f>
      </c>
      <c r="AD106" s="7">
        <v>46112</v>
      </c>
      <c r="AE106" t="s">
        <v>68</v>
      </c>
      <c r="AF106" s="8">
        <f>R106-S106+T106-U106-V106-W106-X106-Y106-Z106-AA106</f>
      </c>
    </row>
    <row r="107" spans="1:32" x14ac:dyDescent="0.25">
      <c r="A107" s="5">
        <v>46108</v>
      </c>
      <c r="B107" s="5">
        <v>46108</v>
      </c>
      <c r="C107" s="5">
        <v>82847</v>
      </c>
      <c r="D107">
        <v>48306</v>
      </c>
      <c r="E107" t="s">
        <v>253</v>
      </c>
      <c r="F107" t="s">
        <v>39</v>
      </c>
      <c r="G107" t="s">
        <v>35</v>
      </c>
      <c r="H107" t="s">
        <v>254</v>
      </c>
      <c r="I107" s="6">
        <v>366.5</v>
      </c>
      <c r="J107" s="6">
        <v>0</v>
      </c>
      <c r="K107" s="6">
        <v>0</v>
      </c>
      <c r="L107" s="6"/>
      <c r="M107" s="6"/>
      <c r="N107" s="6"/>
      <c r="O107" s="6"/>
      <c r="P107" s="6"/>
      <c r="Q107" s="6"/>
      <c r="R107" s="6">
        <v>366.5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24.19</v>
      </c>
      <c r="Y107" s="6">
        <v>0</v>
      </c>
      <c r="Z107" s="6">
        <v>0</v>
      </c>
      <c r="AA107" s="6">
        <v>342.31</v>
      </c>
      <c r="AB107" s="6">
        <f>R107-X107-Y107</f>
      </c>
      <c r="AC107" s="6">
        <f>U107+V107+W107</f>
      </c>
      <c r="AD107" s="7">
        <v>46112</v>
      </c>
      <c r="AE107" t="s">
        <v>44</v>
      </c>
      <c r="AF107" s="8">
        <f>R107-S107+T107-U107-V107-W107-X107-Y107-Z107-AA107</f>
      </c>
    </row>
    <row r="108" spans="1:32" x14ac:dyDescent="0.25">
      <c r="A108" s="5">
        <v>46107</v>
      </c>
      <c r="B108" s="5">
        <v>46107</v>
      </c>
      <c r="C108" s="5">
        <v>15910</v>
      </c>
      <c r="D108">
        <v>48299</v>
      </c>
      <c r="E108" t="s">
        <v>255</v>
      </c>
      <c r="F108" t="s">
        <v>46</v>
      </c>
      <c r="G108" t="s">
        <v>35</v>
      </c>
      <c r="H108" t="s">
        <v>256</v>
      </c>
      <c r="I108" s="6">
        <v>536.68</v>
      </c>
      <c r="J108" s="6">
        <v>93.14</v>
      </c>
      <c r="K108" s="6">
        <v>0</v>
      </c>
      <c r="L108" s="6"/>
      <c r="M108" s="6"/>
      <c r="N108" s="6"/>
      <c r="O108" s="6"/>
      <c r="P108" s="6"/>
      <c r="Q108" s="6"/>
      <c r="R108" s="6">
        <v>629.82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41.57</v>
      </c>
      <c r="Y108" s="6">
        <v>12.6</v>
      </c>
      <c r="Z108" s="6">
        <v>0</v>
      </c>
      <c r="AA108" s="6">
        <v>575.65</v>
      </c>
      <c r="AB108" s="6">
        <f>R108-X108-Y108</f>
      </c>
      <c r="AC108" s="6">
        <f>U108+V108+W108</f>
      </c>
      <c r="AD108" s="7">
        <v>46112</v>
      </c>
      <c r="AE108" t="s">
        <v>48</v>
      </c>
      <c r="AF108" s="8">
        <f>R108-S108+T108-U108-V108-W108-X108-Y108-Z108-AA108</f>
      </c>
    </row>
    <row r="109" spans="1:32" x14ac:dyDescent="0.25">
      <c r="A109" s="5">
        <v>46108</v>
      </c>
      <c r="B109" s="5">
        <v>46108</v>
      </c>
      <c r="C109" s="5">
        <v>9811</v>
      </c>
      <c r="D109">
        <v>48206</v>
      </c>
      <c r="E109" t="s">
        <v>257</v>
      </c>
      <c r="F109" t="s">
        <v>34</v>
      </c>
      <c r="G109" t="s">
        <v>35</v>
      </c>
      <c r="H109" t="s">
        <v>258</v>
      </c>
      <c r="I109" s="6">
        <v>891.5</v>
      </c>
      <c r="J109" s="6">
        <v>1050.36</v>
      </c>
      <c r="K109" s="6">
        <v>0</v>
      </c>
      <c r="L109" s="6"/>
      <c r="M109" s="6"/>
      <c r="N109" s="6"/>
      <c r="O109" s="6"/>
      <c r="P109" s="6"/>
      <c r="Q109" s="6"/>
      <c r="R109" s="6">
        <v>1941.86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128.16</v>
      </c>
      <c r="Y109" s="6">
        <v>38.84</v>
      </c>
      <c r="Z109" s="6">
        <v>0</v>
      </c>
      <c r="AA109" s="6">
        <v>1774.86</v>
      </c>
      <c r="AB109" s="6">
        <f>R109-X109-Y109</f>
      </c>
      <c r="AC109" s="6">
        <f>U109+V109+W109</f>
      </c>
      <c r="AD109" s="7">
        <v>46112</v>
      </c>
      <c r="AE109" t="s">
        <v>41</v>
      </c>
      <c r="AF109" s="8">
        <f>R109-S109+T109-U109-V109-W109-X109-Y109-Z109-AA109</f>
      </c>
    </row>
    <row r="110" spans="1:32" x14ac:dyDescent="0.25">
      <c r="A110" s="5">
        <v>46108</v>
      </c>
      <c r="B110" s="5">
        <v>46108</v>
      </c>
      <c r="C110" s="5">
        <v>16000</v>
      </c>
      <c r="D110">
        <v>48162</v>
      </c>
      <c r="E110" t="s">
        <v>259</v>
      </c>
      <c r="F110" t="s">
        <v>39</v>
      </c>
      <c r="G110" t="s">
        <v>35</v>
      </c>
      <c r="H110" t="s">
        <v>260</v>
      </c>
      <c r="I110" s="6">
        <v>173.07</v>
      </c>
      <c r="J110" s="6">
        <v>0</v>
      </c>
      <c r="K110" s="6">
        <v>0</v>
      </c>
      <c r="L110" s="6"/>
      <c r="M110" s="6"/>
      <c r="N110" s="6"/>
      <c r="O110" s="6"/>
      <c r="P110" s="6"/>
      <c r="Q110" s="6"/>
      <c r="R110" s="6">
        <v>173.07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11.42</v>
      </c>
      <c r="Y110" s="6">
        <v>0</v>
      </c>
      <c r="Z110" s="6">
        <v>0</v>
      </c>
      <c r="AA110" s="6">
        <v>161.65</v>
      </c>
      <c r="AB110" s="6">
        <f>R110-X110-Y110</f>
      </c>
      <c r="AC110" s="6">
        <f>U110+V110+W110</f>
      </c>
      <c r="AD110" s="7">
        <v>46112</v>
      </c>
      <c r="AE110" t="s">
        <v>44</v>
      </c>
      <c r="AF110" s="8">
        <f>R110-S110+T110-U110-V110-W110-X110-Y110-Z110-AA110</f>
      </c>
    </row>
    <row r="111" spans="1:32" x14ac:dyDescent="0.25">
      <c r="A111" s="5">
        <v>46107</v>
      </c>
      <c r="B111" s="5">
        <v>46107</v>
      </c>
      <c r="C111" s="5">
        <v>15911</v>
      </c>
      <c r="D111">
        <v>48300</v>
      </c>
      <c r="E111" t="s">
        <v>261</v>
      </c>
      <c r="F111" t="s">
        <v>46</v>
      </c>
      <c r="G111" t="s">
        <v>35</v>
      </c>
      <c r="H111" t="s">
        <v>262</v>
      </c>
      <c r="I111" s="6">
        <v>544.94</v>
      </c>
      <c r="J111" s="6">
        <v>214.93</v>
      </c>
      <c r="K111" s="6">
        <v>0</v>
      </c>
      <c r="L111" s="6"/>
      <c r="M111" s="6"/>
      <c r="N111" s="6"/>
      <c r="O111" s="6"/>
      <c r="P111" s="6"/>
      <c r="Q111" s="6"/>
      <c r="R111" s="6">
        <v>759.87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50.15</v>
      </c>
      <c r="Y111" s="6">
        <v>15.2</v>
      </c>
      <c r="Z111" s="6">
        <v>0</v>
      </c>
      <c r="AA111" s="6">
        <v>694.52</v>
      </c>
      <c r="AB111" s="6">
        <f>R111-X111-Y111</f>
      </c>
      <c r="AC111" s="6">
        <f>U111+V111+W111</f>
      </c>
      <c r="AD111" s="7">
        <v>46112</v>
      </c>
      <c r="AE111" t="s">
        <v>44</v>
      </c>
      <c r="AF111" s="8">
        <f>R111-S111+T111-U111-V111-W111-X111-Y111-Z111-AA111</f>
      </c>
    </row>
    <row r="112" spans="1:32" x14ac:dyDescent="0.25">
      <c r="A112" s="5">
        <v>46107</v>
      </c>
      <c r="B112" s="5">
        <v>46107</v>
      </c>
      <c r="C112" s="5">
        <v>15833</v>
      </c>
      <c r="D112">
        <v>48289</v>
      </c>
      <c r="E112" t="s">
        <v>263</v>
      </c>
      <c r="F112" t="s">
        <v>46</v>
      </c>
      <c r="G112" t="s">
        <v>35</v>
      </c>
      <c r="H112" t="s">
        <v>264</v>
      </c>
      <c r="I112" s="6">
        <v>1335.7100000000003</v>
      </c>
      <c r="J112" s="6">
        <v>1266.61</v>
      </c>
      <c r="K112" s="6">
        <v>0</v>
      </c>
      <c r="L112" s="6"/>
      <c r="M112" s="6"/>
      <c r="N112" s="6"/>
      <c r="O112" s="6"/>
      <c r="P112" s="6"/>
      <c r="Q112" s="6"/>
      <c r="R112" s="6">
        <v>2602.32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171.75</v>
      </c>
      <c r="Y112" s="6">
        <v>52.05</v>
      </c>
      <c r="Z112" s="6">
        <v>0</v>
      </c>
      <c r="AA112" s="6">
        <v>2378.52</v>
      </c>
      <c r="AB112" s="6">
        <f>R112-X112-Y112</f>
      </c>
      <c r="AC112" s="6">
        <f>U112+V112+W112</f>
      </c>
      <c r="AD112" s="7">
        <v>46112</v>
      </c>
      <c r="AE112" t="s">
        <v>48</v>
      </c>
      <c r="AF112" s="8">
        <f>R112-S112+T112-U112-V112-W112-X112-Y112-Z112-AA112</f>
      </c>
    </row>
    <row r="113" spans="1:32" x14ac:dyDescent="0.25">
      <c r="A113" s="5">
        <v>46108</v>
      </c>
      <c r="B113" s="5">
        <v>46108</v>
      </c>
      <c r="C113" s="5">
        <v>82888</v>
      </c>
      <c r="D113">
        <v>48055</v>
      </c>
      <c r="E113" t="s">
        <v>265</v>
      </c>
      <c r="F113" t="s">
        <v>39</v>
      </c>
      <c r="G113" t="s">
        <v>35</v>
      </c>
      <c r="H113" t="s">
        <v>266</v>
      </c>
      <c r="I113" s="6">
        <v>502.52</v>
      </c>
      <c r="J113" s="6">
        <v>81.36</v>
      </c>
      <c r="K113" s="6">
        <v>0</v>
      </c>
      <c r="L113" s="6"/>
      <c r="M113" s="6"/>
      <c r="N113" s="6"/>
      <c r="O113" s="6"/>
      <c r="P113" s="6"/>
      <c r="Q113" s="6"/>
      <c r="R113" s="6">
        <v>583.88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38.54</v>
      </c>
      <c r="Y113" s="6">
        <v>0</v>
      </c>
      <c r="Z113" s="6">
        <v>0</v>
      </c>
      <c r="AA113" s="6">
        <v>545.34</v>
      </c>
      <c r="AB113" s="6">
        <f>R113-X113-Y113</f>
      </c>
      <c r="AC113" s="6">
        <f>U113+V113+W113</f>
      </c>
      <c r="AD113" s="7">
        <v>46112</v>
      </c>
      <c r="AE113" t="s">
        <v>64</v>
      </c>
      <c r="AF113" s="8">
        <f>R113-S113+T113-U113-V113-W113-X113-Y113-Z113-AA113</f>
      </c>
    </row>
    <row r="114" spans="1:32" x14ac:dyDescent="0.25">
      <c r="A114" s="5">
        <v>46108</v>
      </c>
      <c r="B114" s="5">
        <v>46108</v>
      </c>
      <c r="C114" s="5">
        <v>14751</v>
      </c>
      <c r="D114">
        <v>48088</v>
      </c>
      <c r="E114" t="s">
        <v>267</v>
      </c>
      <c r="F114" t="s">
        <v>73</v>
      </c>
      <c r="G114" t="s">
        <v>35</v>
      </c>
      <c r="H114" t="s">
        <v>268</v>
      </c>
      <c r="I114" s="6">
        <v>961.42</v>
      </c>
      <c r="J114" s="6">
        <v>116.79</v>
      </c>
      <c r="K114" s="6">
        <v>0</v>
      </c>
      <c r="L114" s="6"/>
      <c r="M114" s="6"/>
      <c r="N114" s="6"/>
      <c r="O114" s="6"/>
      <c r="P114" s="6"/>
      <c r="Q114" s="6"/>
      <c r="R114" s="6">
        <v>1078.21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71.16</v>
      </c>
      <c r="Y114" s="6">
        <v>0</v>
      </c>
      <c r="Z114" s="6">
        <v>0</v>
      </c>
      <c r="AA114" s="6">
        <v>1007.05</v>
      </c>
      <c r="AB114" s="6">
        <f>R114-X114-Y114</f>
      </c>
      <c r="AC114" s="6">
        <f>U114+V114+W114</f>
      </c>
      <c r="AD114" s="7">
        <v>46112</v>
      </c>
      <c r="AE114" t="s">
        <v>68</v>
      </c>
      <c r="AF114" s="8">
        <f>R114-S114+T114-U114-V114-W114-X114-Y114-Z114-AA114</f>
      </c>
    </row>
    <row r="115" spans="1:32" x14ac:dyDescent="0.25">
      <c r="A115" s="5">
        <v>46108</v>
      </c>
      <c r="B115" s="5">
        <v>46108</v>
      </c>
      <c r="C115" s="5">
        <v>14826</v>
      </c>
      <c r="D115">
        <v>48135</v>
      </c>
      <c r="E115" t="s">
        <v>269</v>
      </c>
      <c r="F115" t="s">
        <v>39</v>
      </c>
      <c r="G115" t="s">
        <v>35</v>
      </c>
      <c r="H115" t="s">
        <v>270</v>
      </c>
      <c r="I115" s="6">
        <v>2219.89</v>
      </c>
      <c r="J115" s="6">
        <v>96.44</v>
      </c>
      <c r="K115" s="6">
        <v>0</v>
      </c>
      <c r="L115" s="6"/>
      <c r="M115" s="6"/>
      <c r="N115" s="6"/>
      <c r="O115" s="6"/>
      <c r="P115" s="6"/>
      <c r="Q115" s="6"/>
      <c r="R115" s="6">
        <v>2316.33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152.88</v>
      </c>
      <c r="Y115" s="6">
        <v>0</v>
      </c>
      <c r="Z115" s="6">
        <v>0</v>
      </c>
      <c r="AA115" s="6">
        <v>2163.45</v>
      </c>
      <c r="AB115" s="6">
        <f>R115-X115-Y115</f>
      </c>
      <c r="AC115" s="6">
        <f>U115+V115+W115</f>
      </c>
      <c r="AD115" s="7">
        <v>46112</v>
      </c>
      <c r="AE115" t="s">
        <v>37</v>
      </c>
      <c r="AF115" s="8">
        <f>R115-S115+T115-U115-V115-W115-X115-Y115-Z115-AA115</f>
      </c>
    </row>
    <row r="116" spans="1:32" x14ac:dyDescent="0.25">
      <c r="A116" s="5">
        <v>46107</v>
      </c>
      <c r="B116" s="5">
        <v>46107</v>
      </c>
      <c r="C116" s="5">
        <v>15569</v>
      </c>
      <c r="D116">
        <v>48301</v>
      </c>
      <c r="E116" t="s">
        <v>271</v>
      </c>
      <c r="F116" t="s">
        <v>46</v>
      </c>
      <c r="G116" t="s">
        <v>35</v>
      </c>
      <c r="H116" t="s">
        <v>272</v>
      </c>
      <c r="I116" s="6">
        <v>735.07</v>
      </c>
      <c r="J116" s="6">
        <v>130.5</v>
      </c>
      <c r="K116" s="6">
        <v>0</v>
      </c>
      <c r="L116" s="6"/>
      <c r="M116" s="6"/>
      <c r="N116" s="6"/>
      <c r="O116" s="6"/>
      <c r="P116" s="6"/>
      <c r="Q116" s="6"/>
      <c r="R116" s="6">
        <v>865.57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57.13</v>
      </c>
      <c r="Y116" s="6">
        <v>17.31</v>
      </c>
      <c r="Z116" s="6">
        <v>0</v>
      </c>
      <c r="AA116" s="6">
        <v>791.13</v>
      </c>
      <c r="AB116" s="6">
        <f>R116-X116-Y116</f>
      </c>
      <c r="AC116" s="6">
        <f>U116+V116+W116</f>
      </c>
      <c r="AD116" s="7">
        <v>46112</v>
      </c>
      <c r="AE116" t="s">
        <v>48</v>
      </c>
      <c r="AF116" s="8">
        <f>R116-S116+T116-U116-V116-W116-X116-Y116-Z116-AA116</f>
      </c>
    </row>
    <row r="117" spans="1:32" x14ac:dyDescent="0.25">
      <c r="A117" s="5">
        <v>46107</v>
      </c>
      <c r="B117" s="5">
        <v>46107</v>
      </c>
      <c r="C117" s="5">
        <v>9944</v>
      </c>
      <c r="D117">
        <v>48302</v>
      </c>
      <c r="E117" t="s">
        <v>273</v>
      </c>
      <c r="F117" t="s">
        <v>274</v>
      </c>
      <c r="G117" t="s">
        <v>35</v>
      </c>
      <c r="H117" t="s">
        <v>275</v>
      </c>
      <c r="I117" s="6">
        <v>3792</v>
      </c>
      <c r="J117" s="6">
        <v>0</v>
      </c>
      <c r="K117" s="6">
        <v>0</v>
      </c>
      <c r="L117" s="6"/>
      <c r="M117" s="6"/>
      <c r="N117" s="6"/>
      <c r="O117" s="6"/>
      <c r="P117" s="6"/>
      <c r="Q117" s="6"/>
      <c r="R117" s="6">
        <v>3792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250.27</v>
      </c>
      <c r="Y117" s="6">
        <v>75.84</v>
      </c>
      <c r="Z117" s="6">
        <v>0</v>
      </c>
      <c r="AA117" s="6">
        <v>3465.89</v>
      </c>
      <c r="AB117" s="6">
        <f>R117-X117-Y117</f>
      </c>
      <c r="AC117" s="6">
        <f>U117+V117+W117</f>
      </c>
      <c r="AD117" s="7">
        <v>46112</v>
      </c>
      <c r="AE117" t="s">
        <v>64</v>
      </c>
      <c r="AF117" s="8">
        <f>R117-S117+T117-U117-V117-W117-X117-Y117-Z117-AA117</f>
      </c>
    </row>
    <row r="118" spans="1:32" x14ac:dyDescent="0.25">
      <c r="A118" s="5">
        <v>46108</v>
      </c>
      <c r="B118" s="5">
        <v>46108</v>
      </c>
      <c r="C118" s="5">
        <v>9508</v>
      </c>
      <c r="D118">
        <v>48138</v>
      </c>
      <c r="E118" t="s">
        <v>276</v>
      </c>
      <c r="F118" t="s">
        <v>73</v>
      </c>
      <c r="G118" t="s">
        <v>35</v>
      </c>
      <c r="H118" t="s">
        <v>277</v>
      </c>
      <c r="I118" s="6">
        <v>1862.42</v>
      </c>
      <c r="J118" s="6">
        <v>0</v>
      </c>
      <c r="K118" s="6">
        <v>0</v>
      </c>
      <c r="L118" s="6"/>
      <c r="M118" s="6"/>
      <c r="N118" s="6"/>
      <c r="O118" s="6"/>
      <c r="P118" s="6"/>
      <c r="Q118" s="6"/>
      <c r="R118" s="6">
        <v>1862.42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122.92</v>
      </c>
      <c r="Y118" s="6">
        <v>0</v>
      </c>
      <c r="Z118" s="6">
        <v>0</v>
      </c>
      <c r="AA118" s="6">
        <v>1739.5</v>
      </c>
      <c r="AB118" s="6">
        <f>R118-X118-Y118</f>
      </c>
      <c r="AC118" s="6">
        <f>U118+V118+W118</f>
      </c>
      <c r="AD118" s="7">
        <v>46112</v>
      </c>
      <c r="AE118" t="s">
        <v>68</v>
      </c>
      <c r="AF118" s="8">
        <f>R118-S118+T118-U118-V118-W118-X118-Y118-Z118-AA118</f>
      </c>
    </row>
    <row r="119" spans="1:32" x14ac:dyDescent="0.25">
      <c r="A119" s="5">
        <v>46108</v>
      </c>
      <c r="B119" s="5">
        <v>46108</v>
      </c>
      <c r="C119" s="5">
        <v>9815</v>
      </c>
      <c r="D119">
        <v>48136</v>
      </c>
      <c r="E119" t="s">
        <v>278</v>
      </c>
      <c r="F119" t="s">
        <v>73</v>
      </c>
      <c r="G119" t="s">
        <v>35</v>
      </c>
      <c r="H119" t="s">
        <v>279</v>
      </c>
      <c r="I119" s="6">
        <v>0</v>
      </c>
      <c r="J119" s="6">
        <v>79.8</v>
      </c>
      <c r="K119" s="6">
        <v>0</v>
      </c>
      <c r="L119" s="6"/>
      <c r="M119" s="6"/>
      <c r="N119" s="6"/>
      <c r="O119" s="6"/>
      <c r="P119" s="6"/>
      <c r="Q119" s="6"/>
      <c r="R119" s="6">
        <v>79.8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5.27</v>
      </c>
      <c r="Y119" s="6">
        <v>0</v>
      </c>
      <c r="Z119" s="6">
        <v>0</v>
      </c>
      <c r="AA119" s="6">
        <v>74.53</v>
      </c>
      <c r="AB119" s="6">
        <f>R119-X119-Y119</f>
      </c>
      <c r="AC119" s="6">
        <f>U119+V119+W119</f>
      </c>
      <c r="AD119" s="7">
        <v>46112</v>
      </c>
      <c r="AE119" t="s">
        <v>68</v>
      </c>
      <c r="AF119" s="8">
        <f>R119-S119+T119-U119-V119-W119-X119-Y119-Z119-AA119</f>
      </c>
    </row>
    <row r="120" spans="1:32" x14ac:dyDescent="0.25">
      <c r="A120" s="5">
        <v>46107</v>
      </c>
      <c r="B120" s="5">
        <v>46107</v>
      </c>
      <c r="C120" s="5">
        <v>15645</v>
      </c>
      <c r="D120">
        <v>48274</v>
      </c>
      <c r="E120" t="s">
        <v>280</v>
      </c>
      <c r="F120" t="s">
        <v>46</v>
      </c>
      <c r="G120" t="s">
        <v>35</v>
      </c>
      <c r="H120" t="s">
        <v>281</v>
      </c>
      <c r="I120" s="6">
        <v>412.34000000000003</v>
      </c>
      <c r="J120" s="6">
        <v>393.65</v>
      </c>
      <c r="K120" s="6">
        <v>0</v>
      </c>
      <c r="L120" s="6"/>
      <c r="M120" s="6"/>
      <c r="N120" s="6"/>
      <c r="O120" s="6"/>
      <c r="P120" s="6"/>
      <c r="Q120" s="6"/>
      <c r="R120" s="6">
        <v>805.99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53.2</v>
      </c>
      <c r="Y120" s="6">
        <v>16.12</v>
      </c>
      <c r="Z120" s="6">
        <v>0</v>
      </c>
      <c r="AA120" s="6">
        <v>736.67</v>
      </c>
      <c r="AB120" s="6">
        <f>R120-X120-Y120</f>
      </c>
      <c r="AC120" s="6">
        <f>U120+V120+W120</f>
      </c>
      <c r="AD120" s="7">
        <v>46112</v>
      </c>
      <c r="AE120" t="s">
        <v>48</v>
      </c>
      <c r="AF120" s="8">
        <f>R120-S120+T120-U120-V120-W120-X120-Y120-Z120-AA120</f>
      </c>
    </row>
    <row r="121" spans="1:32" x14ac:dyDescent="0.25">
      <c r="A121" s="5">
        <v>46107</v>
      </c>
      <c r="B121" s="5">
        <v>46107</v>
      </c>
      <c r="C121" s="5">
        <v>82848</v>
      </c>
      <c r="D121">
        <v>48275</v>
      </c>
      <c r="E121" t="s">
        <v>282</v>
      </c>
      <c r="F121" t="s">
        <v>46</v>
      </c>
      <c r="G121" t="s">
        <v>35</v>
      </c>
      <c r="H121" t="s">
        <v>281</v>
      </c>
      <c r="I121" s="6">
        <v>148.38</v>
      </c>
      <c r="J121" s="6">
        <v>106.13</v>
      </c>
      <c r="K121" s="6">
        <v>0</v>
      </c>
      <c r="L121" s="6"/>
      <c r="M121" s="6"/>
      <c r="N121" s="6"/>
      <c r="O121" s="6"/>
      <c r="P121" s="6"/>
      <c r="Q121" s="6"/>
      <c r="R121" s="6">
        <v>254.51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16.8</v>
      </c>
      <c r="Y121" s="6">
        <v>5.09</v>
      </c>
      <c r="Z121" s="6">
        <v>0</v>
      </c>
      <c r="AA121" s="6">
        <v>232.62</v>
      </c>
      <c r="AB121" s="6">
        <f>R121-X121-Y121</f>
      </c>
      <c r="AC121" s="6">
        <f>U121+V121+W121</f>
      </c>
      <c r="AD121" s="7">
        <v>46112</v>
      </c>
      <c r="AE121" t="s">
        <v>48</v>
      </c>
      <c r="AF121" s="8">
        <f>R121-S121+T121-U121-V121-W121-X121-Y121-Z121-AA121</f>
      </c>
    </row>
    <row r="122" spans="1:32" x14ac:dyDescent="0.25">
      <c r="A122" s="5">
        <v>46107</v>
      </c>
      <c r="B122" s="5">
        <v>46107</v>
      </c>
      <c r="C122" s="5">
        <v>82951</v>
      </c>
      <c r="D122">
        <v>48290</v>
      </c>
      <c r="E122" t="s">
        <v>283</v>
      </c>
      <c r="F122" t="s">
        <v>46</v>
      </c>
      <c r="G122" t="s">
        <v>35</v>
      </c>
      <c r="H122" t="s">
        <v>284</v>
      </c>
      <c r="I122" s="6">
        <v>22.08</v>
      </c>
      <c r="J122" s="6">
        <v>37.98</v>
      </c>
      <c r="K122" s="6">
        <v>0</v>
      </c>
      <c r="L122" s="6"/>
      <c r="M122" s="6"/>
      <c r="N122" s="6"/>
      <c r="O122" s="6"/>
      <c r="P122" s="6"/>
      <c r="Q122" s="6"/>
      <c r="R122" s="6">
        <v>60.06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3.96</v>
      </c>
      <c r="Y122" s="6">
        <v>1.2</v>
      </c>
      <c r="Z122" s="6">
        <v>0</v>
      </c>
      <c r="AA122" s="6">
        <v>54.9</v>
      </c>
      <c r="AB122" s="6">
        <f>R122-X122-Y122</f>
      </c>
      <c r="AC122" s="6">
        <f>U122+V122+W122</f>
      </c>
      <c r="AD122" s="7">
        <v>46112</v>
      </c>
      <c r="AE122" t="s">
        <v>48</v>
      </c>
      <c r="AF122" s="8">
        <f>R122-S122+T122-U122-V122-W122-X122-Y122-Z122-AA122</f>
      </c>
    </row>
    <row r="123" spans="1:32" x14ac:dyDescent="0.25">
      <c r="A123" s="5">
        <v>46107</v>
      </c>
      <c r="B123" s="5">
        <v>46107</v>
      </c>
      <c r="C123" s="5">
        <v>8075</v>
      </c>
      <c r="D123">
        <v>48258</v>
      </c>
      <c r="E123" t="s">
        <v>285</v>
      </c>
      <c r="F123" t="s">
        <v>46</v>
      </c>
      <c r="G123" t="s">
        <v>35</v>
      </c>
      <c r="H123" t="s">
        <v>286</v>
      </c>
      <c r="I123" s="6">
        <v>372.73</v>
      </c>
      <c r="J123" s="6">
        <v>283.19</v>
      </c>
      <c r="K123" s="6">
        <v>0</v>
      </c>
      <c r="L123" s="6"/>
      <c r="M123" s="6"/>
      <c r="N123" s="6"/>
      <c r="O123" s="6"/>
      <c r="P123" s="6"/>
      <c r="Q123" s="6"/>
      <c r="R123" s="6">
        <v>655.92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43.29</v>
      </c>
      <c r="Y123" s="6">
        <v>13.12</v>
      </c>
      <c r="Z123" s="6">
        <v>0</v>
      </c>
      <c r="AA123" s="6">
        <v>599.51</v>
      </c>
      <c r="AB123" s="6">
        <f>R123-X123-Y123</f>
      </c>
      <c r="AC123" s="6">
        <f>U123+V123+W123</f>
      </c>
      <c r="AD123" s="7">
        <v>46112</v>
      </c>
      <c r="AE123" t="s">
        <v>48</v>
      </c>
      <c r="AF123" s="8">
        <f>R123-S123+T123-U123-V123-W123-X123-Y123-Z123-AA123</f>
      </c>
    </row>
    <row r="124" spans="1:32" x14ac:dyDescent="0.25">
      <c r="A124" s="5">
        <v>46107</v>
      </c>
      <c r="B124" s="5">
        <v>46107</v>
      </c>
      <c r="C124" s="5">
        <v>15735</v>
      </c>
      <c r="D124">
        <v>48261</v>
      </c>
      <c r="E124" t="s">
        <v>287</v>
      </c>
      <c r="F124" t="s">
        <v>46</v>
      </c>
      <c r="G124" t="s">
        <v>35</v>
      </c>
      <c r="H124" t="s">
        <v>288</v>
      </c>
      <c r="I124" s="6">
        <v>108.85</v>
      </c>
      <c r="J124" s="6">
        <v>174.78</v>
      </c>
      <c r="K124" s="6">
        <v>0</v>
      </c>
      <c r="L124" s="6"/>
      <c r="M124" s="6"/>
      <c r="N124" s="6"/>
      <c r="O124" s="6"/>
      <c r="P124" s="6"/>
      <c r="Q124" s="6"/>
      <c r="R124" s="6">
        <v>283.63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18.72</v>
      </c>
      <c r="Y124" s="6">
        <v>5.67</v>
      </c>
      <c r="Z124" s="6">
        <v>0</v>
      </c>
      <c r="AA124" s="6">
        <v>259.24</v>
      </c>
      <c r="AB124" s="6">
        <f>R124-X124-Y124</f>
      </c>
      <c r="AC124" s="6">
        <f>U124+V124+W124</f>
      </c>
      <c r="AD124" s="7">
        <v>46112</v>
      </c>
      <c r="AE124" t="s">
        <v>48</v>
      </c>
      <c r="AF124" s="8">
        <f>R124-S124+T124-U124-V124-W124-X124-Y124-Z124-AA124</f>
      </c>
    </row>
    <row r="125" spans="1:32" x14ac:dyDescent="0.25">
      <c r="A125" s="5">
        <v>46108</v>
      </c>
      <c r="B125" s="5">
        <v>46108</v>
      </c>
      <c r="C125" s="5">
        <v>82808</v>
      </c>
      <c r="D125">
        <v>48100</v>
      </c>
      <c r="E125" t="s">
        <v>289</v>
      </c>
      <c r="F125" t="s">
        <v>34</v>
      </c>
      <c r="G125" t="s">
        <v>35</v>
      </c>
      <c r="H125" t="s">
        <v>290</v>
      </c>
      <c r="I125" s="6">
        <v>598.5</v>
      </c>
      <c r="J125" s="6">
        <v>94.5</v>
      </c>
      <c r="K125" s="6">
        <v>0</v>
      </c>
      <c r="L125" s="6"/>
      <c r="M125" s="6"/>
      <c r="N125" s="6"/>
      <c r="O125" s="6"/>
      <c r="P125" s="6"/>
      <c r="Q125" s="6"/>
      <c r="R125" s="6">
        <v>693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45.74</v>
      </c>
      <c r="Y125" s="6">
        <v>13.86</v>
      </c>
      <c r="Z125" s="6">
        <v>0</v>
      </c>
      <c r="AA125" s="6">
        <v>633.4</v>
      </c>
      <c r="AB125" s="6">
        <f>R125-X125-Y125</f>
      </c>
      <c r="AC125" s="6">
        <f>U125+V125+W125</f>
      </c>
      <c r="AD125" s="7">
        <v>46112</v>
      </c>
      <c r="AE125" t="s">
        <v>41</v>
      </c>
      <c r="AF125" s="8">
        <f>R125-S125+T125-U125-V125-W125-X125-Y125-Z125-AA125</f>
      </c>
    </row>
    <row r="126" spans="1:32" x14ac:dyDescent="0.25">
      <c r="A126" s="5">
        <v>46107</v>
      </c>
      <c r="B126" s="5">
        <v>46107</v>
      </c>
      <c r="C126" s="5">
        <v>82931</v>
      </c>
      <c r="D126">
        <v>48263</v>
      </c>
      <c r="E126" t="s">
        <v>291</v>
      </c>
      <c r="F126" t="s">
        <v>46</v>
      </c>
      <c r="G126" t="s">
        <v>35</v>
      </c>
      <c r="H126" t="s">
        <v>292</v>
      </c>
      <c r="I126" s="6">
        <v>557.18</v>
      </c>
      <c r="J126" s="6">
        <v>878.58</v>
      </c>
      <c r="K126" s="6">
        <v>0</v>
      </c>
      <c r="L126" s="6"/>
      <c r="M126" s="6"/>
      <c r="N126" s="6"/>
      <c r="O126" s="6"/>
      <c r="P126" s="6"/>
      <c r="Q126" s="6"/>
      <c r="R126" s="6">
        <v>1435.76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94.76</v>
      </c>
      <c r="Y126" s="6">
        <v>28.72</v>
      </c>
      <c r="Z126" s="6">
        <v>0</v>
      </c>
      <c r="AA126" s="6">
        <v>1312.28</v>
      </c>
      <c r="AB126" s="6">
        <f>R126-X126-Y126</f>
      </c>
      <c r="AC126" s="6">
        <f>U126+V126+W126</f>
      </c>
      <c r="AD126" s="7">
        <v>46112</v>
      </c>
      <c r="AE126" t="s">
        <v>64</v>
      </c>
      <c r="AF126" s="8">
        <f>R126-S126+T126-U126-V126-W126-X126-Y126-Z126-AA126</f>
      </c>
    </row>
    <row r="127" spans="1:32" x14ac:dyDescent="0.25">
      <c r="A127" s="5">
        <v>46107</v>
      </c>
      <c r="B127" s="5">
        <v>46107</v>
      </c>
      <c r="C127" s="5">
        <v>82816</v>
      </c>
      <c r="D127">
        <v>48264</v>
      </c>
      <c r="E127" t="s">
        <v>293</v>
      </c>
      <c r="F127" t="s">
        <v>46</v>
      </c>
      <c r="G127" t="s">
        <v>35</v>
      </c>
      <c r="H127" t="s">
        <v>294</v>
      </c>
      <c r="I127" s="6">
        <v>141.01</v>
      </c>
      <c r="J127" s="6">
        <v>160.98</v>
      </c>
      <c r="K127" s="6">
        <v>0</v>
      </c>
      <c r="L127" s="6"/>
      <c r="M127" s="6"/>
      <c r="N127" s="6"/>
      <c r="O127" s="6"/>
      <c r="P127" s="6"/>
      <c r="Q127" s="6"/>
      <c r="R127" s="6">
        <v>301.99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19.93</v>
      </c>
      <c r="Y127" s="6">
        <v>6.04</v>
      </c>
      <c r="Z127" s="6">
        <v>0</v>
      </c>
      <c r="AA127" s="6">
        <v>276.02</v>
      </c>
      <c r="AB127" s="6">
        <f>R127-X127-Y127</f>
      </c>
      <c r="AC127" s="6">
        <f>U127+V127+W127</f>
      </c>
      <c r="AD127" s="7">
        <v>46112</v>
      </c>
      <c r="AE127" t="s">
        <v>48</v>
      </c>
      <c r="AF127" s="8">
        <f>R127-S127+T127-U127-V127-W127-X127-Y127-Z127-AA127</f>
      </c>
    </row>
    <row r="128" spans="1:32" x14ac:dyDescent="0.25">
      <c r="A128" s="5">
        <v>46108</v>
      </c>
      <c r="B128" s="5">
        <v>46108</v>
      </c>
      <c r="C128" s="5">
        <v>3772</v>
      </c>
      <c r="D128">
        <v>48082</v>
      </c>
      <c r="E128" t="s">
        <v>295</v>
      </c>
      <c r="F128" t="s">
        <v>39</v>
      </c>
      <c r="G128" t="s">
        <v>35</v>
      </c>
      <c r="H128" t="s">
        <v>296</v>
      </c>
      <c r="I128" s="6">
        <v>303.72</v>
      </c>
      <c r="J128" s="6">
        <v>475.22</v>
      </c>
      <c r="K128" s="6">
        <v>0</v>
      </c>
      <c r="L128" s="6"/>
      <c r="M128" s="6"/>
      <c r="N128" s="6"/>
      <c r="O128" s="6"/>
      <c r="P128" s="6"/>
      <c r="Q128" s="6"/>
      <c r="R128" s="6">
        <v>778.94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51.41</v>
      </c>
      <c r="Y128" s="6">
        <v>0</v>
      </c>
      <c r="Z128" s="6">
        <v>0</v>
      </c>
      <c r="AA128" s="6">
        <v>727.53</v>
      </c>
      <c r="AB128" s="6">
        <f>R128-X128-Y128</f>
      </c>
      <c r="AC128" s="6">
        <f>U128+V128+W128</f>
      </c>
      <c r="AD128" s="7">
        <v>46112</v>
      </c>
      <c r="AE128" t="s">
        <v>37</v>
      </c>
      <c r="AF128" s="8">
        <f>R128-S128+T128-U128-V128-W128-X128-Y128-Z128-AA128</f>
      </c>
    </row>
    <row r="129" spans="1:32" x14ac:dyDescent="0.25">
      <c r="A129" s="5">
        <v>46107</v>
      </c>
      <c r="B129" s="5">
        <v>46107</v>
      </c>
      <c r="C129" s="5">
        <v>14016</v>
      </c>
      <c r="D129">
        <v>48291</v>
      </c>
      <c r="E129" t="s">
        <v>297</v>
      </c>
      <c r="F129" t="s">
        <v>46</v>
      </c>
      <c r="G129" t="s">
        <v>35</v>
      </c>
      <c r="H129" t="s">
        <v>298</v>
      </c>
      <c r="I129" s="6">
        <v>909.2</v>
      </c>
      <c r="J129" s="6">
        <v>1073.79</v>
      </c>
      <c r="K129" s="6">
        <v>0</v>
      </c>
      <c r="L129" s="6"/>
      <c r="M129" s="6"/>
      <c r="N129" s="6"/>
      <c r="O129" s="6"/>
      <c r="P129" s="6"/>
      <c r="Q129" s="6"/>
      <c r="R129" s="6">
        <v>1982.99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130.88</v>
      </c>
      <c r="Y129" s="6">
        <v>39.66</v>
      </c>
      <c r="Z129" s="6">
        <v>0</v>
      </c>
      <c r="AA129" s="6">
        <v>1812.45</v>
      </c>
      <c r="AB129" s="6">
        <f>R129-X129-Y129</f>
      </c>
      <c r="AC129" s="6">
        <f>U129+V129+W129</f>
      </c>
      <c r="AD129" s="7">
        <v>46112</v>
      </c>
      <c r="AE129" t="s">
        <v>41</v>
      </c>
      <c r="AF129" s="8">
        <f>R129-S129+T129-U129-V129-W129-X129-Y129-Z129-AA129</f>
      </c>
    </row>
    <row r="130" spans="1:32" x14ac:dyDescent="0.25">
      <c r="A130" s="5">
        <v>46107</v>
      </c>
      <c r="B130" s="5">
        <v>46107</v>
      </c>
      <c r="C130" s="5">
        <v>15357</v>
      </c>
      <c r="D130">
        <v>48265</v>
      </c>
      <c r="E130" t="s">
        <v>299</v>
      </c>
      <c r="F130" t="s">
        <v>66</v>
      </c>
      <c r="G130" t="s">
        <v>35</v>
      </c>
      <c r="H130" t="s">
        <v>300</v>
      </c>
      <c r="I130" s="6">
        <v>1160.77</v>
      </c>
      <c r="J130" s="6">
        <v>1228.4</v>
      </c>
      <c r="K130" s="6">
        <v>0</v>
      </c>
      <c r="L130" s="6"/>
      <c r="M130" s="6"/>
      <c r="N130" s="6"/>
      <c r="O130" s="6"/>
      <c r="P130" s="6"/>
      <c r="Q130" s="6"/>
      <c r="R130" s="6">
        <v>2389.17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157.69</v>
      </c>
      <c r="Y130" s="6">
        <v>47.78</v>
      </c>
      <c r="Z130" s="6">
        <v>0</v>
      </c>
      <c r="AA130" s="6">
        <v>2183.7</v>
      </c>
      <c r="AB130" s="6">
        <f>R130-X130-Y130</f>
      </c>
      <c r="AC130" s="6">
        <f>U130+V130+W130</f>
      </c>
      <c r="AD130" s="7">
        <v>46112</v>
      </c>
      <c r="AE130" t="s">
        <v>68</v>
      </c>
      <c r="AF130" s="8">
        <f>R130-S130+T130-U130-V130-W130-X130-Y130-Z130-AA130</f>
      </c>
    </row>
    <row r="131" spans="1:32" x14ac:dyDescent="0.25">
      <c r="A131" s="5">
        <v>46107</v>
      </c>
      <c r="B131" s="5">
        <v>46107</v>
      </c>
      <c r="C131" s="5">
        <v>15598</v>
      </c>
      <c r="D131">
        <v>48292</v>
      </c>
      <c r="E131" t="s">
        <v>301</v>
      </c>
      <c r="F131" t="s">
        <v>66</v>
      </c>
      <c r="G131" t="s">
        <v>35</v>
      </c>
      <c r="H131" t="s">
        <v>300</v>
      </c>
      <c r="I131" s="6">
        <v>300.04</v>
      </c>
      <c r="J131" s="6">
        <v>185.06</v>
      </c>
      <c r="K131" s="6">
        <v>0</v>
      </c>
      <c r="L131" s="6"/>
      <c r="M131" s="6"/>
      <c r="N131" s="6"/>
      <c r="O131" s="6"/>
      <c r="P131" s="6"/>
      <c r="Q131" s="6"/>
      <c r="R131" s="6">
        <v>485.1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32.02</v>
      </c>
      <c r="Y131" s="6">
        <v>9.7</v>
      </c>
      <c r="Z131" s="6">
        <v>0</v>
      </c>
      <c r="AA131" s="6">
        <v>443.38</v>
      </c>
      <c r="AB131" s="6">
        <f>R131-X131-Y131</f>
      </c>
      <c r="AC131" s="6">
        <f>U131+V131+W131</f>
      </c>
      <c r="AD131" s="7">
        <v>46112</v>
      </c>
      <c r="AE131" t="s">
        <v>68</v>
      </c>
      <c r="AF131" s="8">
        <f>R131-S131+T131-U131-V131-W131-X131-Y131-Z131-AA131</f>
      </c>
    </row>
    <row r="132" spans="1:32" x14ac:dyDescent="0.25">
      <c r="A132" s="5">
        <v>46108</v>
      </c>
      <c r="B132" s="5">
        <v>46108</v>
      </c>
      <c r="C132" s="5">
        <v>82790</v>
      </c>
      <c r="D132">
        <v>48152</v>
      </c>
      <c r="E132" t="s">
        <v>302</v>
      </c>
      <c r="F132" t="s">
        <v>39</v>
      </c>
      <c r="G132" t="s">
        <v>35</v>
      </c>
      <c r="H132" t="s">
        <v>303</v>
      </c>
      <c r="I132" s="6">
        <v>210</v>
      </c>
      <c r="J132" s="6">
        <v>0</v>
      </c>
      <c r="K132" s="6">
        <v>0</v>
      </c>
      <c r="L132" s="6"/>
      <c r="M132" s="6"/>
      <c r="N132" s="6"/>
      <c r="O132" s="6"/>
      <c r="P132" s="6"/>
      <c r="Q132" s="6"/>
      <c r="R132" s="6">
        <v>210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13.86</v>
      </c>
      <c r="Y132" s="6">
        <v>0</v>
      </c>
      <c r="Z132" s="6">
        <v>0</v>
      </c>
      <c r="AA132" s="6">
        <v>196.14</v>
      </c>
      <c r="AB132" s="6">
        <f>R132-X132-Y132</f>
      </c>
      <c r="AC132" s="6">
        <f>U132+V132+W132</f>
      </c>
      <c r="AD132" s="7">
        <v>46112</v>
      </c>
      <c r="AE132" t="s">
        <v>61</v>
      </c>
      <c r="AF132" s="8">
        <f>R132-S132+T132-U132-V132-W132-X132-Y132-Z132-AA132</f>
      </c>
    </row>
    <row r="133" spans="1:32" x14ac:dyDescent="0.25">
      <c r="A133" s="5">
        <v>46108</v>
      </c>
      <c r="B133" s="5">
        <v>46108</v>
      </c>
      <c r="C133" s="5">
        <v>15088</v>
      </c>
      <c r="D133">
        <v>48079</v>
      </c>
      <c r="E133" t="s">
        <v>304</v>
      </c>
      <c r="F133" t="s">
        <v>34</v>
      </c>
      <c r="G133" t="s">
        <v>35</v>
      </c>
      <c r="H133" t="s">
        <v>305</v>
      </c>
      <c r="I133" s="6">
        <v>2534.42</v>
      </c>
      <c r="J133" s="6">
        <v>2172.12</v>
      </c>
      <c r="K133" s="6">
        <v>0</v>
      </c>
      <c r="L133" s="6"/>
      <c r="M133" s="6"/>
      <c r="N133" s="6"/>
      <c r="O133" s="6"/>
      <c r="P133" s="6"/>
      <c r="Q133" s="6"/>
      <c r="R133" s="6">
        <v>4706.54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310.63</v>
      </c>
      <c r="Y133" s="6">
        <v>94.13</v>
      </c>
      <c r="Z133" s="6">
        <v>2.85</v>
      </c>
      <c r="AA133" s="6">
        <v>4298.93</v>
      </c>
      <c r="AB133" s="6">
        <f>R133-X133-Y133</f>
      </c>
      <c r="AC133" s="6">
        <f>U133+V133+W133</f>
      </c>
      <c r="AD133" s="7">
        <v>46112</v>
      </c>
      <c r="AE133" t="s">
        <v>64</v>
      </c>
      <c r="AF133" s="8">
        <f>R133-S133+T133-U133-V133-W133-X133-Y133-Z133-AA133</f>
      </c>
    </row>
    <row r="134" spans="1:32" x14ac:dyDescent="0.25">
      <c r="A134" s="5">
        <v>46108</v>
      </c>
      <c r="B134" s="5">
        <v>46108</v>
      </c>
      <c r="C134" s="5">
        <v>595</v>
      </c>
      <c r="D134">
        <v>48210</v>
      </c>
      <c r="E134" t="s">
        <v>306</v>
      </c>
      <c r="F134" t="s">
        <v>307</v>
      </c>
      <c r="G134" t="s">
        <v>308</v>
      </c>
      <c r="H134" t="s">
        <v>309</v>
      </c>
      <c r="I134" s="6">
        <v>507.65</v>
      </c>
      <c r="J134" s="6">
        <v>329.5</v>
      </c>
      <c r="K134" s="6">
        <v>0</v>
      </c>
      <c r="L134" s="6"/>
      <c r="M134" s="6"/>
      <c r="N134" s="6"/>
      <c r="O134" s="6"/>
      <c r="P134" s="6"/>
      <c r="Q134" s="6"/>
      <c r="R134" s="6">
        <v>837.15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26.29</v>
      </c>
      <c r="Z134" s="6">
        <v>0</v>
      </c>
      <c r="AA134" s="6">
        <v>810.86</v>
      </c>
      <c r="AB134" s="6">
        <f>R134-X134-Y134</f>
      </c>
      <c r="AC134" s="6">
        <f>U134+V134+W134</f>
      </c>
      <c r="AD134" s="7">
        <v>46112</v>
      </c>
      <c r="AE134" t="s">
        <v>61</v>
      </c>
      <c r="AF134" s="8">
        <f>R134-S134+T134-U134-V134-W134-X134-Y134-Z134-AA134</f>
      </c>
    </row>
    <row r="135" spans="1:32" x14ac:dyDescent="0.25">
      <c r="A135" s="5">
        <v>46108</v>
      </c>
      <c r="B135" s="5">
        <v>46108</v>
      </c>
      <c r="C135" s="5">
        <v>2055</v>
      </c>
      <c r="D135">
        <v>48219</v>
      </c>
      <c r="E135" t="s">
        <v>310</v>
      </c>
      <c r="F135" t="s">
        <v>311</v>
      </c>
      <c r="G135" t="s">
        <v>308</v>
      </c>
      <c r="H135" t="s">
        <v>312</v>
      </c>
      <c r="I135" s="6">
        <v>4772.25</v>
      </c>
      <c r="J135" s="6">
        <v>1685.25</v>
      </c>
      <c r="K135" s="6">
        <v>0</v>
      </c>
      <c r="L135" s="6"/>
      <c r="M135" s="6"/>
      <c r="N135" s="6"/>
      <c r="O135" s="6"/>
      <c r="P135" s="6"/>
      <c r="Q135" s="6"/>
      <c r="R135" s="6">
        <v>6457.5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193.73</v>
      </c>
      <c r="Z135" s="6">
        <v>0</v>
      </c>
      <c r="AA135" s="6">
        <v>6263.77</v>
      </c>
      <c r="AB135" s="6">
        <f>R135-X135-Y135</f>
      </c>
      <c r="AC135" s="6">
        <f>U135+V135+W135</f>
      </c>
      <c r="AD135" s="7">
        <v>46112</v>
      </c>
      <c r="AE135" t="s">
        <v>61</v>
      </c>
      <c r="AF135" s="8">
        <f>R135-S135+T135-U135-V135-W135-X135-Y135-Z135-AA135</f>
      </c>
    </row>
    <row r="136" spans="1:32" x14ac:dyDescent="0.25">
      <c r="A136" s="5">
        <v>46108</v>
      </c>
      <c r="B136" s="5">
        <v>46108</v>
      </c>
      <c r="C136" s="5">
        <v>444</v>
      </c>
      <c r="D136">
        <v>48176</v>
      </c>
      <c r="E136" t="s">
        <v>313</v>
      </c>
      <c r="F136" t="s">
        <v>314</v>
      </c>
      <c r="G136" t="s">
        <v>308</v>
      </c>
      <c r="H136" t="s">
        <v>315</v>
      </c>
      <c r="I136" s="6">
        <v>1332.68</v>
      </c>
      <c r="J136" s="6">
        <v>1299.94</v>
      </c>
      <c r="K136" s="6">
        <v>0</v>
      </c>
      <c r="L136" s="6"/>
      <c r="M136" s="6"/>
      <c r="N136" s="6"/>
      <c r="O136" s="6"/>
      <c r="P136" s="6"/>
      <c r="Q136" s="6"/>
      <c r="R136" s="6">
        <v>2632.62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100.04</v>
      </c>
      <c r="Z136" s="6">
        <v>0</v>
      </c>
      <c r="AA136" s="6">
        <v>2532.58</v>
      </c>
      <c r="AB136" s="6">
        <f>R136-X136-Y136</f>
      </c>
      <c r="AC136" s="6">
        <f>U136+V136+W136</f>
      </c>
      <c r="AD136" s="7">
        <v>46112</v>
      </c>
      <c r="AE136" t="s">
        <v>68</v>
      </c>
      <c r="AF136" s="8">
        <f>R136-S136+T136-U136-V136-W136-X136-Y136-Z136-AA136</f>
      </c>
    </row>
    <row r="137" spans="1:32" x14ac:dyDescent="0.25">
      <c r="A137" s="5">
        <v>46108</v>
      </c>
      <c r="B137" s="5">
        <v>46108</v>
      </c>
      <c r="C137" s="5">
        <v>1003</v>
      </c>
      <c r="D137">
        <v>48131</v>
      </c>
      <c r="E137" t="s">
        <v>316</v>
      </c>
      <c r="F137" t="s">
        <v>317</v>
      </c>
      <c r="G137" t="s">
        <v>308</v>
      </c>
      <c r="H137" t="s">
        <v>318</v>
      </c>
      <c r="I137" s="6">
        <v>1021.16</v>
      </c>
      <c r="J137" s="6">
        <v>72.81</v>
      </c>
      <c r="K137" s="6">
        <v>0</v>
      </c>
      <c r="L137" s="6"/>
      <c r="M137" s="6"/>
      <c r="N137" s="6"/>
      <c r="O137" s="6"/>
      <c r="P137" s="6"/>
      <c r="Q137" s="6"/>
      <c r="R137" s="6">
        <v>1093.97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1093.97</v>
      </c>
      <c r="AB137" s="6">
        <f>R137-X137-Y137</f>
      </c>
      <c r="AC137" s="6">
        <f>U137+V137+W137</f>
      </c>
      <c r="AD137" s="7">
        <v>46112</v>
      </c>
      <c r="AE137" t="s">
        <v>61</v>
      </c>
      <c r="AF137" s="8">
        <f>R137-S137+T137-U137-V137-W137-X137-Y137-Z137-AA137</f>
      </c>
    </row>
    <row r="138" spans="1:32" x14ac:dyDescent="0.25">
      <c r="A138" s="5">
        <v>46108</v>
      </c>
      <c r="B138" s="5">
        <v>46108</v>
      </c>
      <c r="C138" s="5">
        <v>15969</v>
      </c>
      <c r="D138">
        <v>48141</v>
      </c>
      <c r="E138" t="s">
        <v>319</v>
      </c>
      <c r="F138" t="s">
        <v>311</v>
      </c>
      <c r="G138" t="s">
        <v>308</v>
      </c>
      <c r="H138" t="s">
        <v>320</v>
      </c>
      <c r="I138" s="6">
        <v>1961.47</v>
      </c>
      <c r="J138" s="6">
        <v>345.61</v>
      </c>
      <c r="K138" s="6">
        <v>0</v>
      </c>
      <c r="L138" s="6"/>
      <c r="M138" s="6"/>
      <c r="N138" s="6"/>
      <c r="O138" s="6"/>
      <c r="P138" s="6"/>
      <c r="Q138" s="6"/>
      <c r="R138" s="6">
        <v>2307.08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69.21</v>
      </c>
      <c r="Z138" s="6">
        <v>0</v>
      </c>
      <c r="AA138" s="6">
        <v>2237.87</v>
      </c>
      <c r="AB138" s="6">
        <f>R138-X138-Y138</f>
      </c>
      <c r="AC138" s="6">
        <f>U138+V138+W138</f>
      </c>
      <c r="AD138" s="7">
        <v>46112</v>
      </c>
      <c r="AE138" t="s">
        <v>48</v>
      </c>
      <c r="AF138" s="8">
        <f>R138-S138+T138-U138-V138-W138-X138-Y138-Z138-AA138</f>
      </c>
    </row>
    <row r="139" spans="1:32" x14ac:dyDescent="0.25">
      <c r="A139" s="5">
        <v>46108</v>
      </c>
      <c r="B139" s="5">
        <v>46108</v>
      </c>
      <c r="C139" s="5">
        <v>803</v>
      </c>
      <c r="D139">
        <v>48191</v>
      </c>
      <c r="E139" t="s">
        <v>321</v>
      </c>
      <c r="F139" t="s">
        <v>322</v>
      </c>
      <c r="G139" t="s">
        <v>308</v>
      </c>
      <c r="H139" t="s">
        <v>323</v>
      </c>
      <c r="I139" s="6">
        <v>0</v>
      </c>
      <c r="J139" s="6">
        <v>3187.6</v>
      </c>
      <c r="K139" s="6">
        <v>0</v>
      </c>
      <c r="L139" s="6"/>
      <c r="M139" s="6"/>
      <c r="N139" s="6"/>
      <c r="O139" s="6"/>
      <c r="P139" s="6"/>
      <c r="Q139" s="6"/>
      <c r="R139" s="6">
        <v>3187.6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3187.6</v>
      </c>
      <c r="AB139" s="6">
        <f>R139-X139-Y139</f>
      </c>
      <c r="AC139" s="6">
        <f>U139+V139+W139</f>
      </c>
      <c r="AD139" s="7">
        <v>46112</v>
      </c>
      <c r="AE139" t="s">
        <v>68</v>
      </c>
      <c r="AF139" s="8">
        <f>R139-S139+T139-U139-V139-W139-X139-Y139-Z139-AA139</f>
      </c>
    </row>
    <row r="140" spans="1:32" x14ac:dyDescent="0.25">
      <c r="A140" s="5">
        <v>46108</v>
      </c>
      <c r="B140" s="5">
        <v>46108</v>
      </c>
      <c r="C140" s="5">
        <v>1877</v>
      </c>
      <c r="D140">
        <v>48070</v>
      </c>
      <c r="E140" t="s">
        <v>324</v>
      </c>
      <c r="F140" t="s">
        <v>325</v>
      </c>
      <c r="G140" t="s">
        <v>308</v>
      </c>
      <c r="H140" t="s">
        <v>326</v>
      </c>
      <c r="I140" s="6">
        <v>7730.19</v>
      </c>
      <c r="J140" s="6">
        <v>3344.55</v>
      </c>
      <c r="K140" s="6">
        <v>0</v>
      </c>
      <c r="L140" s="6"/>
      <c r="M140" s="6"/>
      <c r="N140" s="6"/>
      <c r="O140" s="6"/>
      <c r="P140" s="6"/>
      <c r="Q140" s="6"/>
      <c r="R140" s="6">
        <v>11074.74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332.24</v>
      </c>
      <c r="Z140" s="6">
        <v>0</v>
      </c>
      <c r="AA140" s="6">
        <v>10742.5</v>
      </c>
      <c r="AB140" s="6">
        <f>R140-X140-Y140</f>
      </c>
      <c r="AC140" s="6">
        <f>U140+V140+W140</f>
      </c>
      <c r="AD140" s="7">
        <v>46112</v>
      </c>
      <c r="AE140" t="s">
        <v>327</v>
      </c>
      <c r="AF140" s="8">
        <f>R140-S140+T140-U140-V140-W140-X140-Y140-Z140-AA140</f>
      </c>
    </row>
    <row r="141" spans="1:32" x14ac:dyDescent="0.25">
      <c r="A141" s="5">
        <v>46108</v>
      </c>
      <c r="B141" s="5">
        <v>46108</v>
      </c>
      <c r="C141" s="5">
        <v>1975</v>
      </c>
      <c r="D141">
        <v>48071</v>
      </c>
      <c r="E141" t="s">
        <v>324</v>
      </c>
      <c r="F141" t="s">
        <v>325</v>
      </c>
      <c r="G141" t="s">
        <v>308</v>
      </c>
      <c r="H141" t="s">
        <v>326</v>
      </c>
      <c r="I141" s="6">
        <v>5572.9</v>
      </c>
      <c r="J141" s="6">
        <v>1719.79</v>
      </c>
      <c r="K141" s="6">
        <v>0</v>
      </c>
      <c r="L141" s="6"/>
      <c r="M141" s="6"/>
      <c r="N141" s="6"/>
      <c r="O141" s="6"/>
      <c r="P141" s="6"/>
      <c r="Q141" s="6"/>
      <c r="R141" s="6">
        <v>7292.69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218.78</v>
      </c>
      <c r="Z141" s="6">
        <v>0</v>
      </c>
      <c r="AA141" s="6">
        <v>7073.91</v>
      </c>
      <c r="AB141" s="6">
        <f>R141-X141-Y141</f>
      </c>
      <c r="AC141" s="6">
        <f>U141+V141+W141</f>
      </c>
      <c r="AD141" s="7">
        <v>46112</v>
      </c>
      <c r="AE141" t="s">
        <v>327</v>
      </c>
      <c r="AF141" s="8">
        <f>R141-S141+T141-U141-V141-W141-X141-Y141-Z141-AA141</f>
      </c>
    </row>
    <row r="142" spans="1:32" x14ac:dyDescent="0.25">
      <c r="A142" s="5">
        <v>46108</v>
      </c>
      <c r="B142" s="5">
        <v>46108</v>
      </c>
      <c r="C142" s="5">
        <v>1965</v>
      </c>
      <c r="D142">
        <v>48072</v>
      </c>
      <c r="E142" t="s">
        <v>324</v>
      </c>
      <c r="F142" t="s">
        <v>325</v>
      </c>
      <c r="G142" t="s">
        <v>308</v>
      </c>
      <c r="H142" t="s">
        <v>326</v>
      </c>
      <c r="I142" s="6">
        <v>8179.06</v>
      </c>
      <c r="J142" s="6">
        <v>3133.93</v>
      </c>
      <c r="K142" s="6">
        <v>0</v>
      </c>
      <c r="L142" s="6"/>
      <c r="M142" s="6"/>
      <c r="N142" s="6"/>
      <c r="O142" s="6"/>
      <c r="P142" s="6"/>
      <c r="Q142" s="6"/>
      <c r="R142" s="6">
        <v>11312.99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339.39</v>
      </c>
      <c r="Z142" s="6">
        <v>0</v>
      </c>
      <c r="AA142" s="6">
        <v>10973.6</v>
      </c>
      <c r="AB142" s="6">
        <f>R142-X142-Y142</f>
      </c>
      <c r="AC142" s="6">
        <f>U142+V142+W142</f>
      </c>
      <c r="AD142" s="7">
        <v>46112</v>
      </c>
      <c r="AE142" t="s">
        <v>327</v>
      </c>
      <c r="AF142" s="8">
        <f>R142-S142+T142-U142-V142-W142-X142-Y142-Z142-AA142</f>
      </c>
    </row>
    <row r="143" spans="1:32" x14ac:dyDescent="0.25">
      <c r="A143" s="5">
        <v>46108</v>
      </c>
      <c r="B143" s="5">
        <v>46108</v>
      </c>
      <c r="C143" s="5">
        <v>2027</v>
      </c>
      <c r="D143">
        <v>48080</v>
      </c>
      <c r="E143" t="s">
        <v>328</v>
      </c>
      <c r="F143" t="s">
        <v>311</v>
      </c>
      <c r="G143" t="s">
        <v>308</v>
      </c>
      <c r="H143" t="s">
        <v>329</v>
      </c>
      <c r="I143" s="6">
        <v>439.22</v>
      </c>
      <c r="J143" s="6">
        <v>270.89</v>
      </c>
      <c r="K143" s="6">
        <v>0</v>
      </c>
      <c r="L143" s="6"/>
      <c r="M143" s="6"/>
      <c r="N143" s="6"/>
      <c r="O143" s="6"/>
      <c r="P143" s="6"/>
      <c r="Q143" s="6"/>
      <c r="R143" s="6">
        <v>710.11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15.41</v>
      </c>
      <c r="Z143" s="6">
        <v>0</v>
      </c>
      <c r="AA143" s="6">
        <v>694.7</v>
      </c>
      <c r="AB143" s="6">
        <f>R143-X143-Y143</f>
      </c>
      <c r="AC143" s="6">
        <f>U143+V143+W143</f>
      </c>
      <c r="AD143" s="7">
        <v>46112</v>
      </c>
      <c r="AE143" t="s">
        <v>61</v>
      </c>
      <c r="AF143" s="8">
        <f>R143-S143+T143-U143-V143-W143-X143-Y143-Z143-AA143</f>
      </c>
    </row>
    <row r="144" spans="1:32" x14ac:dyDescent="0.25">
      <c r="A144" s="5">
        <v>46107</v>
      </c>
      <c r="B144" s="5">
        <v>46107</v>
      </c>
      <c r="C144" s="5">
        <v>4524</v>
      </c>
      <c r="D144">
        <v>48245</v>
      </c>
      <c r="E144" t="s">
        <v>330</v>
      </c>
      <c r="F144" t="s">
        <v>331</v>
      </c>
      <c r="G144" t="s">
        <v>308</v>
      </c>
      <c r="H144" t="s">
        <v>332</v>
      </c>
      <c r="I144" s="6">
        <v>5840.08</v>
      </c>
      <c r="J144" s="6">
        <v>5923.59</v>
      </c>
      <c r="K144" s="6">
        <v>0</v>
      </c>
      <c r="L144" s="6"/>
      <c r="M144" s="6"/>
      <c r="N144" s="6"/>
      <c r="O144" s="6"/>
      <c r="P144" s="6"/>
      <c r="Q144" s="6"/>
      <c r="R144" s="6">
        <v>11763.67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236.45</v>
      </c>
      <c r="Z144" s="6">
        <v>0</v>
      </c>
      <c r="AA144" s="6">
        <v>11527.22</v>
      </c>
      <c r="AB144" s="6">
        <f>R144-X144-Y144</f>
      </c>
      <c r="AC144" s="6">
        <f>U144+V144+W144</f>
      </c>
      <c r="AD144" s="7">
        <v>46112</v>
      </c>
      <c r="AE144" t="s">
        <v>48</v>
      </c>
      <c r="AF144" s="8">
        <f>R144-S144+T144-U144-V144-W144-X144-Y144-Z144-AA144</f>
      </c>
    </row>
    <row r="145" spans="1:32" x14ac:dyDescent="0.25">
      <c r="A145" s="5">
        <v>46108</v>
      </c>
      <c r="B145" s="5">
        <v>46108</v>
      </c>
      <c r="C145" s="5">
        <v>482</v>
      </c>
      <c r="D145">
        <v>48045</v>
      </c>
      <c r="E145" t="s">
        <v>333</v>
      </c>
      <c r="F145" t="s">
        <v>334</v>
      </c>
      <c r="G145" t="s">
        <v>308</v>
      </c>
      <c r="H145" t="s">
        <v>335</v>
      </c>
      <c r="I145" s="6">
        <v>822.56</v>
      </c>
      <c r="J145" s="6">
        <v>601</v>
      </c>
      <c r="K145" s="6">
        <v>0</v>
      </c>
      <c r="L145" s="6"/>
      <c r="M145" s="6"/>
      <c r="N145" s="6"/>
      <c r="O145" s="6"/>
      <c r="P145" s="6"/>
      <c r="Q145" s="6"/>
      <c r="R145" s="6">
        <v>1423.56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51.53</v>
      </c>
      <c r="Z145" s="6">
        <v>0</v>
      </c>
      <c r="AA145" s="6">
        <v>1372.03</v>
      </c>
      <c r="AB145" s="6">
        <f>R145-X145-Y145</f>
      </c>
      <c r="AC145" s="6">
        <f>U145+V145+W145</f>
      </c>
      <c r="AD145" s="7">
        <v>46112</v>
      </c>
      <c r="AE145" t="s">
        <v>64</v>
      </c>
      <c r="AF145" s="8">
        <f>R145-S145+T145-U145-V145-W145-X145-Y145-Z145-AA145</f>
      </c>
    </row>
    <row r="146" spans="1:32" x14ac:dyDescent="0.25">
      <c r="A146" s="5">
        <v>46108</v>
      </c>
      <c r="B146" s="5">
        <v>46108</v>
      </c>
      <c r="C146" s="5">
        <v>794</v>
      </c>
      <c r="D146">
        <v>48048</v>
      </c>
      <c r="E146" t="s">
        <v>336</v>
      </c>
      <c r="F146" t="s">
        <v>317</v>
      </c>
      <c r="G146" t="s">
        <v>308</v>
      </c>
      <c r="H146" t="s">
        <v>337</v>
      </c>
      <c r="I146" s="6">
        <v>0</v>
      </c>
      <c r="J146" s="6">
        <v>121.28</v>
      </c>
      <c r="K146" s="6">
        <v>0</v>
      </c>
      <c r="L146" s="6"/>
      <c r="M146" s="6"/>
      <c r="N146" s="6"/>
      <c r="O146" s="6"/>
      <c r="P146" s="6"/>
      <c r="Q146" s="6"/>
      <c r="R146" s="6">
        <v>121.28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121.28</v>
      </c>
      <c r="AB146" s="6">
        <f>R146-X146-Y146</f>
      </c>
      <c r="AC146" s="6">
        <f>U146+V146+W146</f>
      </c>
      <c r="AD146" s="7">
        <v>46112</v>
      </c>
      <c r="AE146" t="s">
        <v>338</v>
      </c>
      <c r="AF146" s="8">
        <f>R146-S146+T146-U146-V146-W146-X146-Y146-Z146-AA146</f>
      </c>
    </row>
    <row r="147" spans="1:32" x14ac:dyDescent="0.25">
      <c r="A147" s="5">
        <v>46108</v>
      </c>
      <c r="B147" s="5">
        <v>46108</v>
      </c>
      <c r="C147" s="5">
        <v>149</v>
      </c>
      <c r="D147">
        <v>48101</v>
      </c>
      <c r="E147" t="s">
        <v>339</v>
      </c>
      <c r="F147" t="s">
        <v>340</v>
      </c>
      <c r="G147" t="s">
        <v>308</v>
      </c>
      <c r="H147" t="s">
        <v>341</v>
      </c>
      <c r="I147" s="6">
        <v>345</v>
      </c>
      <c r="J147" s="6">
        <v>105</v>
      </c>
      <c r="K147" s="6">
        <v>0</v>
      </c>
      <c r="L147" s="6"/>
      <c r="M147" s="6"/>
      <c r="N147" s="6"/>
      <c r="O147" s="6"/>
      <c r="P147" s="6"/>
      <c r="Q147" s="6"/>
      <c r="R147" s="6">
        <v>450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14.67</v>
      </c>
      <c r="Z147" s="6">
        <v>0</v>
      </c>
      <c r="AA147" s="6">
        <v>435.33</v>
      </c>
      <c r="AB147" s="6">
        <f>R147-X147-Y147</f>
      </c>
      <c r="AC147" s="6">
        <f>U147+V147+W147</f>
      </c>
      <c r="AD147" s="7">
        <v>46112</v>
      </c>
      <c r="AE147" t="s">
        <v>41</v>
      </c>
      <c r="AF147" s="8">
        <f>R147-S147+T147-U147-V147-W147-X147-Y147-Z147-AA147</f>
      </c>
    </row>
    <row r="148" spans="1:32" x14ac:dyDescent="0.25">
      <c r="A148" s="5">
        <v>46090</v>
      </c>
      <c r="B148" s="5">
        <v>46090</v>
      </c>
      <c r="C148" s="5">
        <v>82892</v>
      </c>
      <c r="D148">
        <v>47814</v>
      </c>
      <c r="E148" t="s">
        <v>342</v>
      </c>
      <c r="F148" t="s">
        <v>317</v>
      </c>
      <c r="G148" t="s">
        <v>308</v>
      </c>
      <c r="H148" t="s">
        <v>343</v>
      </c>
      <c r="I148" s="6">
        <v>234.23</v>
      </c>
      <c r="J148" s="6">
        <v>0</v>
      </c>
      <c r="K148" s="6">
        <v>0</v>
      </c>
      <c r="L148" s="6"/>
      <c r="M148" s="6"/>
      <c r="N148" s="6"/>
      <c r="O148" s="6"/>
      <c r="P148" s="6"/>
      <c r="Q148" s="6"/>
      <c r="R148" s="6">
        <v>234.23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234.23</v>
      </c>
      <c r="AB148" s="6">
        <f>R148-X148-Y148</f>
      </c>
      <c r="AC148" s="6">
        <f>U148+V148+W148</f>
      </c>
      <c r="AD148" s="7">
        <v>46097</v>
      </c>
      <c r="AE148" t="s">
        <v>344</v>
      </c>
      <c r="AF148" s="8">
        <f>R148-S148+T148-U148-V148-W148-X148-Y148-Z148-AA148</f>
      </c>
    </row>
    <row r="149" spans="1:32" x14ac:dyDescent="0.25">
      <c r="A149" s="5">
        <v>46108</v>
      </c>
      <c r="B149" s="5">
        <v>46108</v>
      </c>
      <c r="C149" s="5">
        <v>938</v>
      </c>
      <c r="D149">
        <v>48217</v>
      </c>
      <c r="E149" t="s">
        <v>345</v>
      </c>
      <c r="F149" t="s">
        <v>311</v>
      </c>
      <c r="G149" t="s">
        <v>308</v>
      </c>
      <c r="H149" t="s">
        <v>346</v>
      </c>
      <c r="I149" s="6">
        <v>164.62</v>
      </c>
      <c r="J149" s="6">
        <v>180.26</v>
      </c>
      <c r="K149" s="6">
        <v>0</v>
      </c>
      <c r="L149" s="6"/>
      <c r="M149" s="6"/>
      <c r="N149" s="6"/>
      <c r="O149" s="6"/>
      <c r="P149" s="6"/>
      <c r="Q149" s="6"/>
      <c r="R149" s="6">
        <v>344.88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13.28</v>
      </c>
      <c r="Z149" s="6">
        <v>0</v>
      </c>
      <c r="AA149" s="6">
        <v>331.6</v>
      </c>
      <c r="AB149" s="6">
        <f>R149-X149-Y149</f>
      </c>
      <c r="AC149" s="6">
        <f>U149+V149+W149</f>
      </c>
      <c r="AD149" s="7">
        <v>46112</v>
      </c>
      <c r="AE149" t="s">
        <v>327</v>
      </c>
      <c r="AF149" s="8">
        <f>R149-S149+T149-U149-V149-W149-X149-Y149-Z149-AA149</f>
      </c>
    </row>
    <row r="150" spans="1:32" x14ac:dyDescent="0.25">
      <c r="A150" s="5">
        <v>46108</v>
      </c>
      <c r="B150" s="5">
        <v>46108</v>
      </c>
      <c r="C150" s="5">
        <v>52</v>
      </c>
      <c r="D150">
        <v>48056</v>
      </c>
      <c r="E150" t="s">
        <v>347</v>
      </c>
      <c r="F150" t="s">
        <v>317</v>
      </c>
      <c r="G150" t="s">
        <v>308</v>
      </c>
      <c r="H150" t="s">
        <v>348</v>
      </c>
      <c r="I150" s="6">
        <v>17795.21</v>
      </c>
      <c r="J150" s="6">
        <v>955.59</v>
      </c>
      <c r="K150" s="6">
        <v>0</v>
      </c>
      <c r="L150" s="6"/>
      <c r="M150" s="6"/>
      <c r="N150" s="6"/>
      <c r="O150" s="6"/>
      <c r="P150" s="6"/>
      <c r="Q150" s="6"/>
      <c r="R150" s="6">
        <v>18750.8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18750.8</v>
      </c>
      <c r="AB150" s="6">
        <f>R150-X150-Y150</f>
      </c>
      <c r="AC150" s="6">
        <f>U150+V150+W150</f>
      </c>
      <c r="AD150" s="7">
        <v>46112</v>
      </c>
      <c r="AE150" t="s">
        <v>344</v>
      </c>
      <c r="AF150" s="8">
        <f>R150-S150+T150-U150-V150-W150-X150-Y150-Z150-AA150</f>
      </c>
    </row>
    <row r="151" spans="1:32" x14ac:dyDescent="0.25">
      <c r="A151" s="5">
        <v>46108</v>
      </c>
      <c r="B151" s="5">
        <v>46108</v>
      </c>
      <c r="C151" s="5">
        <v>2049</v>
      </c>
      <c r="D151">
        <v>48057</v>
      </c>
      <c r="E151" t="s">
        <v>349</v>
      </c>
      <c r="F151" t="s">
        <v>317</v>
      </c>
      <c r="G151" t="s">
        <v>308</v>
      </c>
      <c r="H151" t="s">
        <v>350</v>
      </c>
      <c r="I151" s="6">
        <v>0</v>
      </c>
      <c r="J151" s="6">
        <v>18</v>
      </c>
      <c r="K151" s="6">
        <v>0</v>
      </c>
      <c r="L151" s="6"/>
      <c r="M151" s="6"/>
      <c r="N151" s="6"/>
      <c r="O151" s="6"/>
      <c r="P151" s="6"/>
      <c r="Q151" s="6"/>
      <c r="R151" s="6">
        <v>18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18</v>
      </c>
      <c r="AB151" s="6">
        <f>R151-X151-Y151</f>
      </c>
      <c r="AC151" s="6">
        <f>U151+V151+W151</f>
      </c>
      <c r="AD151" s="7">
        <v>46112</v>
      </c>
      <c r="AE151" t="s">
        <v>61</v>
      </c>
      <c r="AF151" s="8">
        <f>R151-S151+T151-U151-V151-W151-X151-Y151-Z151-AA151</f>
      </c>
    </row>
    <row r="152" spans="1:32" x14ac:dyDescent="0.25">
      <c r="A152" s="5">
        <v>46108</v>
      </c>
      <c r="B152" s="5">
        <v>46108</v>
      </c>
      <c r="C152" s="5">
        <v>1092</v>
      </c>
      <c r="D152">
        <v>48058</v>
      </c>
      <c r="E152" t="s">
        <v>349</v>
      </c>
      <c r="F152" t="s">
        <v>317</v>
      </c>
      <c r="G152" t="s">
        <v>308</v>
      </c>
      <c r="H152" t="s">
        <v>350</v>
      </c>
      <c r="I152" s="6">
        <v>154.64</v>
      </c>
      <c r="J152" s="6">
        <v>56.32</v>
      </c>
      <c r="K152" s="6">
        <v>0</v>
      </c>
      <c r="L152" s="6"/>
      <c r="M152" s="6"/>
      <c r="N152" s="6"/>
      <c r="O152" s="6"/>
      <c r="P152" s="6"/>
      <c r="Q152" s="6"/>
      <c r="R152" s="6">
        <v>210.96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210.96</v>
      </c>
      <c r="AB152" s="6">
        <f>R152-X152-Y152</f>
      </c>
      <c r="AC152" s="6">
        <f>U152+V152+W152</f>
      </c>
      <c r="AD152" s="7">
        <v>46112</v>
      </c>
      <c r="AE152" t="s">
        <v>61</v>
      </c>
      <c r="AF152" s="8">
        <f>R152-S152+T152-U152-V152-W152-X152-Y152-Z152-AA152</f>
      </c>
    </row>
    <row r="153" spans="1:32" x14ac:dyDescent="0.25">
      <c r="A153" s="5">
        <v>46108</v>
      </c>
      <c r="B153" s="5">
        <v>46108</v>
      </c>
      <c r="C153" s="5">
        <v>105</v>
      </c>
      <c r="D153">
        <v>48059</v>
      </c>
      <c r="E153" t="s">
        <v>349</v>
      </c>
      <c r="F153" t="s">
        <v>317</v>
      </c>
      <c r="G153" t="s">
        <v>308</v>
      </c>
      <c r="H153" t="s">
        <v>350</v>
      </c>
      <c r="I153" s="6">
        <v>959.48</v>
      </c>
      <c r="J153" s="6">
        <v>971.58</v>
      </c>
      <c r="K153" s="6">
        <v>0</v>
      </c>
      <c r="L153" s="6"/>
      <c r="M153" s="6"/>
      <c r="N153" s="6"/>
      <c r="O153" s="6"/>
      <c r="P153" s="6"/>
      <c r="Q153" s="6"/>
      <c r="R153" s="6">
        <v>1931.06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1931.06</v>
      </c>
      <c r="AB153" s="6">
        <f>R153-X153-Y153</f>
      </c>
      <c r="AC153" s="6">
        <f>U153+V153+W153</f>
      </c>
      <c r="AD153" s="7">
        <v>46112</v>
      </c>
      <c r="AE153" t="s">
        <v>61</v>
      </c>
      <c r="AF153" s="8">
        <f>R153-S153+T153-U153-V153-W153-X153-Y153-Z153-AA153</f>
      </c>
    </row>
    <row r="154" spans="1:32" x14ac:dyDescent="0.25">
      <c r="A154" s="5">
        <v>46108</v>
      </c>
      <c r="B154" s="5">
        <v>46108</v>
      </c>
      <c r="C154" s="5">
        <v>971</v>
      </c>
      <c r="D154">
        <v>48064</v>
      </c>
      <c r="E154" t="s">
        <v>351</v>
      </c>
      <c r="F154" t="s">
        <v>325</v>
      </c>
      <c r="G154" t="s">
        <v>308</v>
      </c>
      <c r="H154" t="s">
        <v>352</v>
      </c>
      <c r="I154" s="6">
        <v>1222.97</v>
      </c>
      <c r="J154" s="6">
        <v>687.8</v>
      </c>
      <c r="K154" s="6">
        <v>0</v>
      </c>
      <c r="L154" s="6"/>
      <c r="M154" s="6"/>
      <c r="N154" s="6"/>
      <c r="O154" s="6"/>
      <c r="P154" s="6"/>
      <c r="Q154" s="6"/>
      <c r="R154" s="6">
        <v>1910.77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57.32</v>
      </c>
      <c r="Z154" s="6">
        <v>0</v>
      </c>
      <c r="AA154" s="6">
        <v>1853.45</v>
      </c>
      <c r="AB154" s="6">
        <f>R154-X154-Y154</f>
      </c>
      <c r="AC154" s="6">
        <f>U154+V154+W154</f>
      </c>
      <c r="AD154" s="7">
        <v>46112</v>
      </c>
      <c r="AE154" t="s">
        <v>41</v>
      </c>
      <c r="AF154" s="8">
        <f>R154-S154+T154-U154-V154-W154-X154-Y154-Z154-AA154</f>
      </c>
    </row>
    <row r="155" spans="1:32" x14ac:dyDescent="0.25">
      <c r="A155" s="5">
        <v>46090</v>
      </c>
      <c r="B155" s="5">
        <v>46090</v>
      </c>
      <c r="C155" s="5">
        <v>2082</v>
      </c>
      <c r="D155">
        <v>47826</v>
      </c>
      <c r="E155" t="s">
        <v>353</v>
      </c>
      <c r="F155" t="s">
        <v>354</v>
      </c>
      <c r="G155" t="s">
        <v>308</v>
      </c>
      <c r="H155" t="s">
        <v>355</v>
      </c>
      <c r="I155" s="6">
        <v>1750</v>
      </c>
      <c r="J155" s="6">
        <v>0</v>
      </c>
      <c r="K155" s="6">
        <v>0</v>
      </c>
      <c r="L155" s="6"/>
      <c r="M155" s="6"/>
      <c r="N155" s="6"/>
      <c r="O155" s="6"/>
      <c r="P155" s="6"/>
      <c r="Q155" s="6"/>
      <c r="R155" s="6">
        <v>1750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35.18</v>
      </c>
      <c r="Z155" s="6">
        <v>0</v>
      </c>
      <c r="AA155" s="6">
        <v>1714.82</v>
      </c>
      <c r="AB155" s="6">
        <f>R155-X155-Y155</f>
      </c>
      <c r="AC155" s="6">
        <f>U155+V155+W155</f>
      </c>
      <c r="AD155" s="7">
        <v>46097</v>
      </c>
      <c r="AE155" t="s">
        <v>68</v>
      </c>
      <c r="AF155" s="8">
        <f>R155-S155+T155-U155-V155-W155-X155-Y155-Z155-AA155</f>
      </c>
    </row>
    <row r="156" spans="1:32" x14ac:dyDescent="0.25">
      <c r="A156" s="5">
        <v>46108</v>
      </c>
      <c r="B156" s="5">
        <v>46108</v>
      </c>
      <c r="C156" s="5">
        <v>153</v>
      </c>
      <c r="D156">
        <v>48069</v>
      </c>
      <c r="E156" t="s">
        <v>356</v>
      </c>
      <c r="F156" t="s">
        <v>357</v>
      </c>
      <c r="G156" t="s">
        <v>308</v>
      </c>
      <c r="H156" t="s">
        <v>358</v>
      </c>
      <c r="I156" s="6">
        <v>944.26</v>
      </c>
      <c r="J156" s="6">
        <v>109.84</v>
      </c>
      <c r="K156" s="6">
        <v>0</v>
      </c>
      <c r="L156" s="6"/>
      <c r="M156" s="6"/>
      <c r="N156" s="6"/>
      <c r="O156" s="6"/>
      <c r="P156" s="6"/>
      <c r="Q156" s="6"/>
      <c r="R156" s="6">
        <v>1054.1</v>
      </c>
      <c r="S156" s="6">
        <v>0</v>
      </c>
      <c r="T156" s="6">
        <v>0</v>
      </c>
      <c r="U156" s="6">
        <v>6.85</v>
      </c>
      <c r="V156" s="6">
        <v>31.62</v>
      </c>
      <c r="W156" s="6">
        <v>10.55</v>
      </c>
      <c r="X156" s="6">
        <v>0</v>
      </c>
      <c r="Y156" s="6">
        <v>0</v>
      </c>
      <c r="Z156" s="6">
        <v>15.81</v>
      </c>
      <c r="AA156" s="6">
        <v>989.27</v>
      </c>
      <c r="AB156" s="6">
        <f>R156-X156-Y156</f>
      </c>
      <c r="AC156" s="6">
        <f>U156+V156+W156</f>
      </c>
      <c r="AD156" s="7">
        <v>46112</v>
      </c>
      <c r="AE156" t="s">
        <v>68</v>
      </c>
      <c r="AF156" s="8">
        <f>R156-S156+T156-U156-V156-W156-X156-Y156-Z156-AA156</f>
      </c>
    </row>
    <row r="157" spans="1:32" x14ac:dyDescent="0.25">
      <c r="A157" s="5">
        <v>46108</v>
      </c>
      <c r="B157" s="5">
        <v>46108</v>
      </c>
      <c r="C157" s="5">
        <v>1031</v>
      </c>
      <c r="D157">
        <v>48085</v>
      </c>
      <c r="E157" t="s">
        <v>359</v>
      </c>
      <c r="F157" t="s">
        <v>317</v>
      </c>
      <c r="G157" t="s">
        <v>308</v>
      </c>
      <c r="H157" t="s">
        <v>360</v>
      </c>
      <c r="I157" s="6">
        <v>517</v>
      </c>
      <c r="J157" s="6">
        <v>29.11</v>
      </c>
      <c r="K157" s="6">
        <v>0</v>
      </c>
      <c r="L157" s="6"/>
      <c r="M157" s="6"/>
      <c r="N157" s="6"/>
      <c r="O157" s="6"/>
      <c r="P157" s="6"/>
      <c r="Q157" s="6"/>
      <c r="R157" s="6">
        <v>546.11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546.11</v>
      </c>
      <c r="AB157" s="6">
        <f>R157-X157-Y157</f>
      </c>
      <c r="AC157" s="6">
        <f>U157+V157+W157</f>
      </c>
      <c r="AD157" s="7">
        <v>46112</v>
      </c>
      <c r="AE157" t="s">
        <v>37</v>
      </c>
      <c r="AF157" s="8">
        <f>R157-S157+T157-U157-V157-W157-X157-Y157-Z157-AA157</f>
      </c>
    </row>
    <row r="158" spans="1:32" x14ac:dyDescent="0.25">
      <c r="A158" s="5">
        <v>46090</v>
      </c>
      <c r="B158" s="5">
        <v>46090</v>
      </c>
      <c r="C158" s="5">
        <v>1031</v>
      </c>
      <c r="D158">
        <v>47984</v>
      </c>
      <c r="E158" t="s">
        <v>359</v>
      </c>
      <c r="F158" t="s">
        <v>317</v>
      </c>
      <c r="G158" t="s">
        <v>308</v>
      </c>
      <c r="H158" t="s">
        <v>360</v>
      </c>
      <c r="I158" s="6">
        <v>910.64</v>
      </c>
      <c r="J158" s="6">
        <v>189.17</v>
      </c>
      <c r="K158" s="6">
        <v>0</v>
      </c>
      <c r="L158" s="6"/>
      <c r="M158" s="6"/>
      <c r="N158" s="6"/>
      <c r="O158" s="6"/>
      <c r="P158" s="6"/>
      <c r="Q158" s="6"/>
      <c r="R158" s="6">
        <v>1099.81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1099.81</v>
      </c>
      <c r="AB158" s="6">
        <f>R158-X158-Y158</f>
      </c>
      <c r="AC158" s="6">
        <f>U158+V158+W158</f>
      </c>
      <c r="AD158" s="7">
        <v>46097</v>
      </c>
      <c r="AE158" t="s">
        <v>37</v>
      </c>
      <c r="AF158" s="8">
        <f>R158-S158+T158-U158-V158-W158-X158-Y158-Z158-AA158</f>
      </c>
    </row>
    <row r="159" spans="1:32" x14ac:dyDescent="0.25">
      <c r="A159" s="5">
        <v>46108</v>
      </c>
      <c r="B159" s="5">
        <v>46108</v>
      </c>
      <c r="C159" s="5">
        <v>1087</v>
      </c>
      <c r="D159">
        <v>48089</v>
      </c>
      <c r="E159" t="s">
        <v>361</v>
      </c>
      <c r="F159" t="s">
        <v>357</v>
      </c>
      <c r="G159" t="s">
        <v>308</v>
      </c>
      <c r="H159" t="s">
        <v>362</v>
      </c>
      <c r="I159" s="6">
        <v>272</v>
      </c>
      <c r="J159" s="6">
        <v>0</v>
      </c>
      <c r="K159" s="6">
        <v>0</v>
      </c>
      <c r="L159" s="6"/>
      <c r="M159" s="6"/>
      <c r="N159" s="6"/>
      <c r="O159" s="6"/>
      <c r="P159" s="6"/>
      <c r="Q159" s="6"/>
      <c r="R159" s="6">
        <v>272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272</v>
      </c>
      <c r="AB159" s="6">
        <f>R159-X159-Y159</f>
      </c>
      <c r="AC159" s="6">
        <f>U159+V159+W159</f>
      </c>
      <c r="AD159" s="7">
        <v>46112</v>
      </c>
      <c r="AE159" t="s">
        <v>68</v>
      </c>
      <c r="AF159" s="8">
        <f>R159-S159+T159-U159-V159-W159-X159-Y159-Z159-AA159</f>
      </c>
    </row>
    <row r="160" spans="1:32" x14ac:dyDescent="0.25">
      <c r="A160" s="5">
        <v>46108</v>
      </c>
      <c r="B160" s="5">
        <v>46108</v>
      </c>
      <c r="C160" s="5">
        <v>1029</v>
      </c>
      <c r="D160">
        <v>48188</v>
      </c>
      <c r="E160" t="s">
        <v>363</v>
      </c>
      <c r="F160" t="s">
        <v>317</v>
      </c>
      <c r="G160" t="s">
        <v>308</v>
      </c>
      <c r="H160" t="s">
        <v>364</v>
      </c>
      <c r="I160" s="6">
        <v>2112.13</v>
      </c>
      <c r="J160" s="6">
        <v>428.74</v>
      </c>
      <c r="K160" s="6">
        <v>0</v>
      </c>
      <c r="L160" s="6"/>
      <c r="M160" s="6"/>
      <c r="N160" s="6"/>
      <c r="O160" s="6"/>
      <c r="P160" s="6"/>
      <c r="Q160" s="6"/>
      <c r="R160" s="6">
        <v>2540.87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2540.87</v>
      </c>
      <c r="AB160" s="6">
        <f>R160-X160-Y160</f>
      </c>
      <c r="AC160" s="6">
        <f>U160+V160+W160</f>
      </c>
      <c r="AD160" s="7">
        <v>46112</v>
      </c>
      <c r="AE160" t="s">
        <v>37</v>
      </c>
      <c r="AF160" s="8">
        <f>R160-S160+T160-U160-V160-W160-X160-Y160-Z160-AA160</f>
      </c>
    </row>
    <row r="161" spans="1:32" x14ac:dyDescent="0.25">
      <c r="A161" s="5">
        <v>46108</v>
      </c>
      <c r="B161" s="5">
        <v>46108</v>
      </c>
      <c r="C161" s="5">
        <v>2000</v>
      </c>
      <c r="D161">
        <v>48062</v>
      </c>
      <c r="E161" t="s">
        <v>365</v>
      </c>
      <c r="F161" t="s">
        <v>317</v>
      </c>
      <c r="G161" t="s">
        <v>308</v>
      </c>
      <c r="H161" t="s">
        <v>366</v>
      </c>
      <c r="I161" s="6">
        <v>25724.51</v>
      </c>
      <c r="J161" s="6">
        <v>1813.94</v>
      </c>
      <c r="K161" s="6">
        <v>0</v>
      </c>
      <c r="L161" s="6"/>
      <c r="M161" s="6"/>
      <c r="N161" s="6"/>
      <c r="O161" s="6"/>
      <c r="P161" s="6"/>
      <c r="Q161" s="6"/>
      <c r="R161" s="6">
        <v>27538.45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27538.45</v>
      </c>
      <c r="AB161" s="6">
        <f>R161-X161-Y161</f>
      </c>
      <c r="AC161" s="6">
        <f>U161+V161+W161</f>
      </c>
      <c r="AD161" s="7">
        <v>46112</v>
      </c>
      <c r="AE161" t="s">
        <v>61</v>
      </c>
      <c r="AF161" s="8">
        <f>R161-S161+T161-U161-V161-W161-X161-Y161-Z161-AA161</f>
      </c>
    </row>
    <row r="162" spans="1:32" x14ac:dyDescent="0.25">
      <c r="A162" s="5">
        <v>46108</v>
      </c>
      <c r="B162" s="5">
        <v>46108</v>
      </c>
      <c r="C162" s="5">
        <v>2008</v>
      </c>
      <c r="D162">
        <v>48092</v>
      </c>
      <c r="E162" t="s">
        <v>367</v>
      </c>
      <c r="F162" t="s">
        <v>322</v>
      </c>
      <c r="G162" t="s">
        <v>308</v>
      </c>
      <c r="H162" t="s">
        <v>368</v>
      </c>
      <c r="I162" s="6">
        <v>34</v>
      </c>
      <c r="J162" s="6">
        <v>0</v>
      </c>
      <c r="K162" s="6">
        <v>0</v>
      </c>
      <c r="L162" s="6"/>
      <c r="M162" s="6"/>
      <c r="N162" s="6"/>
      <c r="O162" s="6"/>
      <c r="P162" s="6"/>
      <c r="Q162" s="6"/>
      <c r="R162" s="6">
        <v>34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34</v>
      </c>
      <c r="AB162" s="6">
        <f>R162-X162-Y162</f>
      </c>
      <c r="AC162" s="6">
        <f>U162+V162+W162</f>
      </c>
      <c r="AD162" s="7">
        <v>46112</v>
      </c>
      <c r="AE162" t="s">
        <v>68</v>
      </c>
      <c r="AF162" s="8">
        <f>R162-S162+T162-U162-V162-W162-X162-Y162-Z162-AA162</f>
      </c>
    </row>
    <row r="163" spans="1:32" x14ac:dyDescent="0.25">
      <c r="A163" s="5">
        <v>46108</v>
      </c>
      <c r="B163" s="5">
        <v>46108</v>
      </c>
      <c r="C163" s="5">
        <v>879</v>
      </c>
      <c r="D163">
        <v>48094</v>
      </c>
      <c r="E163" t="s">
        <v>369</v>
      </c>
      <c r="F163" t="s">
        <v>317</v>
      </c>
      <c r="G163" t="s">
        <v>308</v>
      </c>
      <c r="H163" t="s">
        <v>370</v>
      </c>
      <c r="I163" s="6">
        <v>2093.77</v>
      </c>
      <c r="J163" s="6">
        <v>1162.33</v>
      </c>
      <c r="K163" s="6">
        <v>0</v>
      </c>
      <c r="L163" s="6"/>
      <c r="M163" s="6"/>
      <c r="N163" s="6"/>
      <c r="O163" s="6"/>
      <c r="P163" s="6"/>
      <c r="Q163" s="6"/>
      <c r="R163" s="6">
        <v>3256.1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3256.1</v>
      </c>
      <c r="AB163" s="6">
        <f>R163-X163-Y163</f>
      </c>
      <c r="AC163" s="6">
        <f>U163+V163+W163</f>
      </c>
      <c r="AD163" s="7">
        <v>46112</v>
      </c>
      <c r="AE163" t="s">
        <v>48</v>
      </c>
      <c r="AF163" s="8">
        <f>R163-S163+T163-U163-V163-W163-X163-Y163-Z163-AA163</f>
      </c>
    </row>
    <row r="164" spans="1:32" x14ac:dyDescent="0.25">
      <c r="A164" s="5">
        <v>46108</v>
      </c>
      <c r="B164" s="5">
        <v>46108</v>
      </c>
      <c r="C164" s="5">
        <v>122</v>
      </c>
      <c r="D164">
        <v>48053</v>
      </c>
      <c r="E164" t="s">
        <v>371</v>
      </c>
      <c r="F164" t="s">
        <v>317</v>
      </c>
      <c r="G164" t="s">
        <v>308</v>
      </c>
      <c r="H164" t="s">
        <v>372</v>
      </c>
      <c r="I164" s="6">
        <v>3388.38</v>
      </c>
      <c r="J164" s="6">
        <v>463.91</v>
      </c>
      <c r="K164" s="6">
        <v>0</v>
      </c>
      <c r="L164" s="6"/>
      <c r="M164" s="6"/>
      <c r="N164" s="6"/>
      <c r="O164" s="6"/>
      <c r="P164" s="6"/>
      <c r="Q164" s="6"/>
      <c r="R164" s="6">
        <v>3852.29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3852.29</v>
      </c>
      <c r="AB164" s="6">
        <f>R164-X164-Y164</f>
      </c>
      <c r="AC164" s="6">
        <f>U164+V164+W164</f>
      </c>
      <c r="AD164" s="7">
        <v>46112</v>
      </c>
      <c r="AE164" t="s">
        <v>61</v>
      </c>
      <c r="AF164" s="8">
        <f>R164-S164+T164-U164-V164-W164-X164-Y164-Z164-AA164</f>
      </c>
    </row>
    <row r="165" spans="1:32" x14ac:dyDescent="0.25">
      <c r="A165" s="5">
        <v>46108</v>
      </c>
      <c r="B165" s="5">
        <v>46108</v>
      </c>
      <c r="C165" s="5">
        <v>374</v>
      </c>
      <c r="D165">
        <v>48228</v>
      </c>
      <c r="E165" t="s">
        <v>373</v>
      </c>
      <c r="F165" t="s">
        <v>325</v>
      </c>
      <c r="G165" t="s">
        <v>308</v>
      </c>
      <c r="H165" t="s">
        <v>374</v>
      </c>
      <c r="I165" s="6">
        <v>2244.8</v>
      </c>
      <c r="J165" s="6">
        <v>1595.44</v>
      </c>
      <c r="K165" s="6">
        <v>0</v>
      </c>
      <c r="L165" s="6"/>
      <c r="M165" s="6"/>
      <c r="N165" s="6"/>
      <c r="O165" s="6"/>
      <c r="P165" s="6"/>
      <c r="Q165" s="6"/>
      <c r="R165" s="6">
        <v>3840.24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115.21</v>
      </c>
      <c r="Z165" s="6">
        <v>0</v>
      </c>
      <c r="AA165" s="6">
        <v>3725.03</v>
      </c>
      <c r="AB165" s="6">
        <f>R165-X165-Y165</f>
      </c>
      <c r="AC165" s="6">
        <f>U165+V165+W165</f>
      </c>
      <c r="AD165" s="7">
        <v>46112</v>
      </c>
      <c r="AE165" t="s">
        <v>44</v>
      </c>
      <c r="AF165" s="8">
        <f>R165-S165+T165-U165-V165-W165-X165-Y165-Z165-AA165</f>
      </c>
    </row>
    <row r="166" spans="1:32" x14ac:dyDescent="0.25">
      <c r="A166" s="5">
        <v>46108</v>
      </c>
      <c r="B166" s="5">
        <v>46108</v>
      </c>
      <c r="C166" s="5">
        <v>19</v>
      </c>
      <c r="D166">
        <v>48202</v>
      </c>
      <c r="E166" t="s">
        <v>375</v>
      </c>
      <c r="F166" t="s">
        <v>376</v>
      </c>
      <c r="G166" t="s">
        <v>308</v>
      </c>
      <c r="H166" t="s">
        <v>377</v>
      </c>
      <c r="I166" s="6">
        <v>276.76</v>
      </c>
      <c r="J166" s="6">
        <v>376.74</v>
      </c>
      <c r="K166" s="6">
        <v>0</v>
      </c>
      <c r="L166" s="6"/>
      <c r="M166" s="6"/>
      <c r="N166" s="6"/>
      <c r="O166" s="6"/>
      <c r="P166" s="6"/>
      <c r="Q166" s="6"/>
      <c r="R166" s="6">
        <v>653.5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14.18</v>
      </c>
      <c r="Z166" s="6">
        <v>0</v>
      </c>
      <c r="AA166" s="6">
        <v>639.32</v>
      </c>
      <c r="AB166" s="6">
        <f>R166-X166-Y166</f>
      </c>
      <c r="AC166" s="6">
        <f>U166+V166+W166</f>
      </c>
      <c r="AD166" s="7">
        <v>46112</v>
      </c>
      <c r="AE166" t="s">
        <v>68</v>
      </c>
      <c r="AF166" s="8">
        <f>R166-S166+T166-U166-V166-W166-X166-Y166-Z166-AA166</f>
      </c>
    </row>
    <row r="167" spans="1:32" x14ac:dyDescent="0.25">
      <c r="A167" s="5">
        <v>46108</v>
      </c>
      <c r="B167" s="5">
        <v>46108</v>
      </c>
      <c r="C167" s="5">
        <v>995</v>
      </c>
      <c r="D167">
        <v>48105</v>
      </c>
      <c r="E167" t="s">
        <v>378</v>
      </c>
      <c r="F167" t="s">
        <v>311</v>
      </c>
      <c r="G167" t="s">
        <v>308</v>
      </c>
      <c r="H167" t="s">
        <v>379</v>
      </c>
      <c r="I167" s="6">
        <v>1002.65</v>
      </c>
      <c r="J167" s="6">
        <v>1257.63</v>
      </c>
      <c r="K167" s="6">
        <v>0</v>
      </c>
      <c r="L167" s="6"/>
      <c r="M167" s="6"/>
      <c r="N167" s="6"/>
      <c r="O167" s="6"/>
      <c r="P167" s="6"/>
      <c r="Q167" s="6"/>
      <c r="R167" s="6">
        <v>2260.28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49.05</v>
      </c>
      <c r="Z167" s="6">
        <v>0</v>
      </c>
      <c r="AA167" s="6">
        <v>2211.23</v>
      </c>
      <c r="AB167" s="6">
        <f>R167-X167-Y167</f>
      </c>
      <c r="AC167" s="6">
        <f>U167+V167+W167</f>
      </c>
      <c r="AD167" s="7">
        <v>46112</v>
      </c>
      <c r="AE167" t="s">
        <v>48</v>
      </c>
      <c r="AF167" s="8">
        <f>R167-S167+T167-U167-V167-W167-X167-Y167-Z167-AA167</f>
      </c>
    </row>
    <row r="168" spans="1:32" x14ac:dyDescent="0.25">
      <c r="A168" s="5">
        <v>46108</v>
      </c>
      <c r="B168" s="5">
        <v>46108</v>
      </c>
      <c r="C168" s="5">
        <v>367</v>
      </c>
      <c r="D168">
        <v>48166</v>
      </c>
      <c r="E168" t="s">
        <v>380</v>
      </c>
      <c r="F168" t="s">
        <v>317</v>
      </c>
      <c r="G168" t="s">
        <v>308</v>
      </c>
      <c r="H168" t="s">
        <v>381</v>
      </c>
      <c r="I168" s="6">
        <v>4189.98</v>
      </c>
      <c r="J168" s="6">
        <v>60</v>
      </c>
      <c r="K168" s="6">
        <v>0</v>
      </c>
      <c r="L168" s="6"/>
      <c r="M168" s="6"/>
      <c r="N168" s="6"/>
      <c r="O168" s="6"/>
      <c r="P168" s="6"/>
      <c r="Q168" s="6"/>
      <c r="R168" s="6">
        <v>4249.98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4249.98</v>
      </c>
      <c r="AB168" s="6">
        <f>R168-X168-Y168</f>
      </c>
      <c r="AC168" s="6">
        <f>U168+V168+W168</f>
      </c>
      <c r="AD168" s="7">
        <v>46112</v>
      </c>
      <c r="AE168" t="s">
        <v>37</v>
      </c>
      <c r="AF168" s="8">
        <f>R168-S168+T168-U168-V168-W168-X168-Y168-Z168-AA168</f>
      </c>
    </row>
    <row r="169" spans="1:32" x14ac:dyDescent="0.25">
      <c r="A169" s="5">
        <v>46108</v>
      </c>
      <c r="B169" s="5">
        <v>46108</v>
      </c>
      <c r="C169" s="5">
        <v>843</v>
      </c>
      <c r="D169">
        <v>48232</v>
      </c>
      <c r="E169" t="s">
        <v>382</v>
      </c>
      <c r="F169" t="s">
        <v>317</v>
      </c>
      <c r="G169" t="s">
        <v>308</v>
      </c>
      <c r="H169" t="s">
        <v>383</v>
      </c>
      <c r="I169" s="6">
        <v>5410.89</v>
      </c>
      <c r="J169" s="6">
        <v>571.45</v>
      </c>
      <c r="K169" s="6">
        <v>0</v>
      </c>
      <c r="L169" s="6"/>
      <c r="M169" s="6"/>
      <c r="N169" s="6"/>
      <c r="O169" s="6"/>
      <c r="P169" s="6"/>
      <c r="Q169" s="6"/>
      <c r="R169" s="6">
        <v>5982.34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5982.34</v>
      </c>
      <c r="AB169" s="6">
        <f>R169-X169-Y169</f>
      </c>
      <c r="AC169" s="6">
        <f>U169+V169+W169</f>
      </c>
      <c r="AD169" s="7">
        <v>46112</v>
      </c>
      <c r="AE169" t="s">
        <v>384</v>
      </c>
      <c r="AF169" s="8">
        <f>R169-S169+T169-U169-V169-W169-X169-Y169-Z169-AA169</f>
      </c>
    </row>
    <row r="170" spans="1:32" x14ac:dyDescent="0.25">
      <c r="A170" s="5">
        <v>46108</v>
      </c>
      <c r="B170" s="5">
        <v>46108</v>
      </c>
      <c r="C170" s="5">
        <v>694</v>
      </c>
      <c r="D170">
        <v>48112</v>
      </c>
      <c r="E170" t="s">
        <v>385</v>
      </c>
      <c r="F170" t="s">
        <v>386</v>
      </c>
      <c r="G170" t="s">
        <v>308</v>
      </c>
      <c r="H170" t="s">
        <v>387</v>
      </c>
      <c r="I170" s="6">
        <v>568.18</v>
      </c>
      <c r="J170" s="6">
        <v>455.25</v>
      </c>
      <c r="K170" s="6">
        <v>0</v>
      </c>
      <c r="L170" s="6"/>
      <c r="M170" s="6"/>
      <c r="N170" s="6"/>
      <c r="O170" s="6"/>
      <c r="P170" s="6"/>
      <c r="Q170" s="6"/>
      <c r="R170" s="6">
        <v>1023.43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20.57</v>
      </c>
      <c r="Z170" s="6">
        <v>0</v>
      </c>
      <c r="AA170" s="6">
        <v>1002.86</v>
      </c>
      <c r="AB170" s="6">
        <f>R170-X170-Y170</f>
      </c>
      <c r="AC170" s="6">
        <f>U170+V170+W170</f>
      </c>
      <c r="AD170" s="7">
        <v>46112</v>
      </c>
      <c r="AE170" t="s">
        <v>68</v>
      </c>
      <c r="AF170" s="8">
        <f>R170-S170+T170-U170-V170-W170-X170-Y170-Z170-AA170</f>
      </c>
    </row>
    <row r="171" spans="1:32" x14ac:dyDescent="0.25">
      <c r="A171" s="5">
        <v>46108</v>
      </c>
      <c r="B171" s="5">
        <v>46108</v>
      </c>
      <c r="C171" s="5">
        <v>917</v>
      </c>
      <c r="D171">
        <v>48122</v>
      </c>
      <c r="E171" t="s">
        <v>388</v>
      </c>
      <c r="F171" t="s">
        <v>311</v>
      </c>
      <c r="G171" t="s">
        <v>308</v>
      </c>
      <c r="H171" t="s">
        <v>389</v>
      </c>
      <c r="I171" s="6">
        <v>532.86</v>
      </c>
      <c r="J171" s="6">
        <v>199.64</v>
      </c>
      <c r="K171" s="6">
        <v>0</v>
      </c>
      <c r="L171" s="6"/>
      <c r="M171" s="6"/>
      <c r="N171" s="6"/>
      <c r="O171" s="6"/>
      <c r="P171" s="6"/>
      <c r="Q171" s="6"/>
      <c r="R171" s="6">
        <v>732.5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14.72</v>
      </c>
      <c r="Z171" s="6">
        <v>0</v>
      </c>
      <c r="AA171" s="6">
        <v>717.78</v>
      </c>
      <c r="AB171" s="6">
        <f>R171-X171-Y171</f>
      </c>
      <c r="AC171" s="6">
        <f>U171+V171+W171</f>
      </c>
      <c r="AD171" s="7">
        <v>46112</v>
      </c>
      <c r="AE171" t="s">
        <v>48</v>
      </c>
      <c r="AF171" s="8">
        <f>R171-S171+T171-U171-V171-W171-X171-Y171-Z171-AA171</f>
      </c>
    </row>
    <row r="172" spans="1:32" x14ac:dyDescent="0.25">
      <c r="A172" s="5">
        <v>46108</v>
      </c>
      <c r="B172" s="5">
        <v>46108</v>
      </c>
      <c r="C172" s="5">
        <v>771</v>
      </c>
      <c r="D172">
        <v>48123</v>
      </c>
      <c r="E172" t="s">
        <v>390</v>
      </c>
      <c r="F172" t="s">
        <v>322</v>
      </c>
      <c r="G172" t="s">
        <v>308</v>
      </c>
      <c r="H172" t="s">
        <v>391</v>
      </c>
      <c r="I172" s="6">
        <v>79.3</v>
      </c>
      <c r="J172" s="6">
        <v>105.24</v>
      </c>
      <c r="K172" s="6">
        <v>0</v>
      </c>
      <c r="L172" s="6"/>
      <c r="M172" s="6"/>
      <c r="N172" s="6"/>
      <c r="O172" s="6"/>
      <c r="P172" s="6"/>
      <c r="Q172" s="6"/>
      <c r="R172" s="6">
        <v>184.54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184.54</v>
      </c>
      <c r="AB172" s="6">
        <f>R172-X172-Y172</f>
      </c>
      <c r="AC172" s="6">
        <f>U172+V172+W172</f>
      </c>
      <c r="AD172" s="7">
        <v>46112</v>
      </c>
      <c r="AE172" t="s">
        <v>68</v>
      </c>
      <c r="AF172" s="8">
        <f>R172-S172+T172-U172-V172-W172-X172-Y172-Z172-AA172</f>
      </c>
    </row>
    <row r="173" spans="1:32" x14ac:dyDescent="0.25">
      <c r="A173" s="5">
        <v>46108</v>
      </c>
      <c r="B173" s="5">
        <v>46108</v>
      </c>
      <c r="C173" s="5">
        <v>779</v>
      </c>
      <c r="D173">
        <v>48124</v>
      </c>
      <c r="E173" t="s">
        <v>392</v>
      </c>
      <c r="F173" t="s">
        <v>322</v>
      </c>
      <c r="G173" t="s">
        <v>308</v>
      </c>
      <c r="H173" t="s">
        <v>393</v>
      </c>
      <c r="I173" s="6">
        <v>2592.19</v>
      </c>
      <c r="J173" s="6">
        <v>92.27</v>
      </c>
      <c r="K173" s="6">
        <v>0</v>
      </c>
      <c r="L173" s="6"/>
      <c r="M173" s="6"/>
      <c r="N173" s="6"/>
      <c r="O173" s="6"/>
      <c r="P173" s="6"/>
      <c r="Q173" s="6"/>
      <c r="R173" s="6">
        <v>2684.46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2684.46</v>
      </c>
      <c r="AB173" s="6">
        <f>R173-X173-Y173</f>
      </c>
      <c r="AC173" s="6">
        <f>U173+V173+W173</f>
      </c>
      <c r="AD173" s="7">
        <v>46112</v>
      </c>
      <c r="AE173" t="s">
        <v>68</v>
      </c>
      <c r="AF173" s="8">
        <f>R173-S173+T173-U173-V173-W173-X173-Y173-Z173-AA173</f>
      </c>
    </row>
    <row r="174" spans="1:32" x14ac:dyDescent="0.25">
      <c r="A174" s="5">
        <v>46108</v>
      </c>
      <c r="B174" s="5">
        <v>46108</v>
      </c>
      <c r="C174" s="5">
        <v>136</v>
      </c>
      <c r="D174">
        <v>48139</v>
      </c>
      <c r="E174" t="s">
        <v>394</v>
      </c>
      <c r="F174" t="s">
        <v>395</v>
      </c>
      <c r="G174" t="s">
        <v>308</v>
      </c>
      <c r="H174" t="s">
        <v>396</v>
      </c>
      <c r="I174" s="6">
        <v>2702.95</v>
      </c>
      <c r="J174" s="6">
        <v>1672.55</v>
      </c>
      <c r="K174" s="6">
        <v>0</v>
      </c>
      <c r="L174" s="6"/>
      <c r="M174" s="6"/>
      <c r="N174" s="6"/>
      <c r="O174" s="6"/>
      <c r="P174" s="6"/>
      <c r="Q174" s="6"/>
      <c r="R174" s="6">
        <v>4375.5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115.95</v>
      </c>
      <c r="Z174" s="6">
        <v>0</v>
      </c>
      <c r="AA174" s="6">
        <v>4259.55</v>
      </c>
      <c r="AB174" s="6">
        <f>R174-X174-Y174</f>
      </c>
      <c r="AC174" s="6">
        <f>U174+V174+W174</f>
      </c>
      <c r="AD174" s="7">
        <v>46112</v>
      </c>
      <c r="AE174" t="s">
        <v>41</v>
      </c>
      <c r="AF174" s="8">
        <f>R174-S174+T174-U174-V174-W174-X174-Y174-Z174-AA174</f>
      </c>
    </row>
    <row r="175" spans="1:32" x14ac:dyDescent="0.25">
      <c r="A175" s="5">
        <v>46108</v>
      </c>
      <c r="B175" s="5">
        <v>46108</v>
      </c>
      <c r="C175" s="5">
        <v>952</v>
      </c>
      <c r="D175">
        <v>48140</v>
      </c>
      <c r="E175" t="s">
        <v>397</v>
      </c>
      <c r="F175" t="s">
        <v>317</v>
      </c>
      <c r="G175" t="s">
        <v>308</v>
      </c>
      <c r="H175" t="s">
        <v>398</v>
      </c>
      <c r="I175" s="6">
        <v>606.45</v>
      </c>
      <c r="J175" s="6">
        <v>92.27</v>
      </c>
      <c r="K175" s="6">
        <v>0</v>
      </c>
      <c r="L175" s="6"/>
      <c r="M175" s="6"/>
      <c r="N175" s="6"/>
      <c r="O175" s="6"/>
      <c r="P175" s="6"/>
      <c r="Q175" s="6"/>
      <c r="R175" s="6">
        <v>698.72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698.72</v>
      </c>
      <c r="AB175" s="6">
        <f>R175-X175-Y175</f>
      </c>
      <c r="AC175" s="6">
        <f>U175+V175+W175</f>
      </c>
      <c r="AD175" s="7">
        <v>46112</v>
      </c>
      <c r="AE175" t="s">
        <v>344</v>
      </c>
      <c r="AF175" s="8">
        <f>R175-S175+T175-U175-V175-W175-X175-Y175-Z175-AA175</f>
      </c>
    </row>
    <row r="176" spans="1:32" x14ac:dyDescent="0.25">
      <c r="A176" s="5">
        <v>46108</v>
      </c>
      <c r="B176" s="5">
        <v>46108</v>
      </c>
      <c r="C176" s="5">
        <v>965</v>
      </c>
      <c r="D176">
        <v>48308</v>
      </c>
      <c r="E176" t="s">
        <v>399</v>
      </c>
      <c r="F176" t="s">
        <v>400</v>
      </c>
      <c r="G176" t="s">
        <v>308</v>
      </c>
      <c r="H176" t="s">
        <v>401</v>
      </c>
      <c r="I176" s="6">
        <v>1028.21</v>
      </c>
      <c r="J176" s="6">
        <v>70.97</v>
      </c>
      <c r="K176" s="6">
        <v>0</v>
      </c>
      <c r="L176" s="6"/>
      <c r="M176" s="6"/>
      <c r="N176" s="6"/>
      <c r="O176" s="6"/>
      <c r="P176" s="6"/>
      <c r="Q176" s="6"/>
      <c r="R176" s="6">
        <v>1099.18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1099.18</v>
      </c>
      <c r="AB176" s="6">
        <f>R176-X176-Y176</f>
      </c>
      <c r="AC176" s="6">
        <f>U176+V176+W176</f>
      </c>
      <c r="AD176" s="7">
        <v>46112</v>
      </c>
      <c r="AE176" t="s">
        <v>64</v>
      </c>
      <c r="AF176" s="8">
        <f>R176-S176+T176-U176-V176-W176-X176-Y176-Z176-AA176</f>
      </c>
    </row>
    <row r="177" spans="1:32" x14ac:dyDescent="0.25">
      <c r="A177" s="5">
        <v>46108</v>
      </c>
      <c r="B177" s="5">
        <v>46108</v>
      </c>
      <c r="C177" s="5">
        <v>960</v>
      </c>
      <c r="D177">
        <v>48212</v>
      </c>
      <c r="E177" t="s">
        <v>402</v>
      </c>
      <c r="F177" t="s">
        <v>317</v>
      </c>
      <c r="G177" t="s">
        <v>308</v>
      </c>
      <c r="H177" t="s">
        <v>403</v>
      </c>
      <c r="I177" s="6">
        <v>91.35</v>
      </c>
      <c r="J177" s="6">
        <v>0</v>
      </c>
      <c r="K177" s="6">
        <v>0</v>
      </c>
      <c r="L177" s="6"/>
      <c r="M177" s="6"/>
      <c r="N177" s="6"/>
      <c r="O177" s="6"/>
      <c r="P177" s="6"/>
      <c r="Q177" s="6"/>
      <c r="R177" s="6">
        <v>91.35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91.35</v>
      </c>
      <c r="AB177" s="6">
        <f>R177-X177-Y177</f>
      </c>
      <c r="AC177" s="6">
        <f>U177+V177+W177</f>
      </c>
      <c r="AD177" s="7">
        <v>46112</v>
      </c>
      <c r="AE177" t="s">
        <v>44</v>
      </c>
      <c r="AF177" s="8">
        <f>R177-S177+T177-U177-V177-W177-X177-Y177-Z177-AA177</f>
      </c>
    </row>
    <row r="178" spans="1:32" x14ac:dyDescent="0.25">
      <c r="A178" s="5">
        <v>46108</v>
      </c>
      <c r="B178" s="5">
        <v>46108</v>
      </c>
      <c r="C178" s="5">
        <v>907</v>
      </c>
      <c r="D178">
        <v>48307</v>
      </c>
      <c r="E178" t="s">
        <v>404</v>
      </c>
      <c r="F178" t="s">
        <v>311</v>
      </c>
      <c r="G178" t="s">
        <v>308</v>
      </c>
      <c r="H178" t="s">
        <v>405</v>
      </c>
      <c r="I178" s="6">
        <v>520.24</v>
      </c>
      <c r="J178" s="6">
        <v>289.57</v>
      </c>
      <c r="K178" s="6">
        <v>0</v>
      </c>
      <c r="L178" s="6"/>
      <c r="M178" s="6"/>
      <c r="N178" s="6"/>
      <c r="O178" s="6"/>
      <c r="P178" s="6"/>
      <c r="Q178" s="6"/>
      <c r="R178" s="6">
        <v>809.81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17.57</v>
      </c>
      <c r="Z178" s="6">
        <v>0</v>
      </c>
      <c r="AA178" s="6">
        <v>792.24</v>
      </c>
      <c r="AB178" s="6">
        <f>R178-X178-Y178</f>
      </c>
      <c r="AC178" s="6">
        <f>U178+V178+W178</f>
      </c>
      <c r="AD178" s="7">
        <v>46112</v>
      </c>
      <c r="AE178" t="s">
        <v>41</v>
      </c>
      <c r="AF178" s="8">
        <f>R178-S178+T178-U178-V178-W178-X178-Y178-Z178-AA178</f>
      </c>
    </row>
    <row r="179" spans="1:32" x14ac:dyDescent="0.25">
      <c r="A179" s="5">
        <v>46108</v>
      </c>
      <c r="B179" s="5">
        <v>46108</v>
      </c>
      <c r="C179" s="5">
        <v>979</v>
      </c>
      <c r="D179">
        <v>48151</v>
      </c>
      <c r="E179" t="s">
        <v>406</v>
      </c>
      <c r="F179" t="s">
        <v>317</v>
      </c>
      <c r="G179" t="s">
        <v>308</v>
      </c>
      <c r="H179" t="s">
        <v>407</v>
      </c>
      <c r="I179" s="6">
        <v>595.36</v>
      </c>
      <c r="J179" s="6">
        <v>310.19</v>
      </c>
      <c r="K179" s="6">
        <v>0</v>
      </c>
      <c r="L179" s="6"/>
      <c r="M179" s="6"/>
      <c r="N179" s="6"/>
      <c r="O179" s="6"/>
      <c r="P179" s="6"/>
      <c r="Q179" s="6"/>
      <c r="R179" s="6">
        <v>905.55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905.55</v>
      </c>
      <c r="AB179" s="6">
        <f>R179-X179-Y179</f>
      </c>
      <c r="AC179" s="6">
        <f>U179+V179+W179</f>
      </c>
      <c r="AD179" s="7">
        <v>46112</v>
      </c>
      <c r="AE179" t="s">
        <v>226</v>
      </c>
      <c r="AF179" s="8">
        <f>R179-S179+T179-U179-V179-W179-X179-Y179-Z179-AA179</f>
      </c>
    </row>
    <row r="180" spans="1:32" x14ac:dyDescent="0.25">
      <c r="A180" s="5">
        <v>46108</v>
      </c>
      <c r="B180" s="5">
        <v>46108</v>
      </c>
      <c r="C180" s="5">
        <v>1001</v>
      </c>
      <c r="D180">
        <v>48155</v>
      </c>
      <c r="E180" t="s">
        <v>408</v>
      </c>
      <c r="F180" t="s">
        <v>311</v>
      </c>
      <c r="G180" t="s">
        <v>308</v>
      </c>
      <c r="H180" t="s">
        <v>409</v>
      </c>
      <c r="I180" s="6">
        <v>1591.03</v>
      </c>
      <c r="J180" s="6">
        <v>1363.66</v>
      </c>
      <c r="K180" s="6">
        <v>0</v>
      </c>
      <c r="L180" s="6"/>
      <c r="M180" s="6"/>
      <c r="N180" s="6"/>
      <c r="O180" s="6"/>
      <c r="P180" s="6"/>
      <c r="Q180" s="6"/>
      <c r="R180" s="6">
        <v>2954.69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64.12</v>
      </c>
      <c r="Z180" s="6">
        <v>0</v>
      </c>
      <c r="AA180" s="6">
        <v>2890.57</v>
      </c>
      <c r="AB180" s="6">
        <f>R180-X180-Y180</f>
      </c>
      <c r="AC180" s="6">
        <f>U180+V180+W180</f>
      </c>
      <c r="AD180" s="7">
        <v>46112</v>
      </c>
      <c r="AE180" t="s">
        <v>48</v>
      </c>
      <c r="AF180" s="8">
        <f>R180-S180+T180-U180-V180-W180-X180-Y180-Z180-AA180</f>
      </c>
    </row>
    <row r="181" spans="1:32" x14ac:dyDescent="0.25">
      <c r="A181" s="5">
        <v>46108</v>
      </c>
      <c r="B181" s="5">
        <v>46108</v>
      </c>
      <c r="C181" s="5">
        <v>777</v>
      </c>
      <c r="D181">
        <v>48117</v>
      </c>
      <c r="E181" t="s">
        <v>410</v>
      </c>
      <c r="F181" t="s">
        <v>325</v>
      </c>
      <c r="G181" t="s">
        <v>308</v>
      </c>
      <c r="H181" t="s">
        <v>411</v>
      </c>
      <c r="I181" s="6">
        <v>675.05</v>
      </c>
      <c r="J181" s="6">
        <v>747.27</v>
      </c>
      <c r="K181" s="6">
        <v>0</v>
      </c>
      <c r="L181" s="6"/>
      <c r="M181" s="6"/>
      <c r="N181" s="6"/>
      <c r="O181" s="6"/>
      <c r="P181" s="6"/>
      <c r="Q181" s="6"/>
      <c r="R181" s="6">
        <v>1422.32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30.86</v>
      </c>
      <c r="Z181" s="6">
        <v>0</v>
      </c>
      <c r="AA181" s="6">
        <v>1391.46</v>
      </c>
      <c r="AB181" s="6">
        <f>R181-X181-Y181</f>
      </c>
      <c r="AC181" s="6">
        <f>U181+V181+W181</f>
      </c>
      <c r="AD181" s="7">
        <v>46112</v>
      </c>
      <c r="AE181" t="s">
        <v>226</v>
      </c>
      <c r="AF181" s="8">
        <f>R181-S181+T181-U181-V181-W181-X181-Y181-Z181-AA181</f>
      </c>
    </row>
    <row r="182" spans="1:32" x14ac:dyDescent="0.25">
      <c r="A182" s="5">
        <v>46108</v>
      </c>
      <c r="B182" s="5">
        <v>46108</v>
      </c>
      <c r="C182" s="5">
        <v>209</v>
      </c>
      <c r="D182">
        <v>48193</v>
      </c>
      <c r="E182" t="s">
        <v>412</v>
      </c>
      <c r="F182" t="s">
        <v>317</v>
      </c>
      <c r="G182" t="s">
        <v>308</v>
      </c>
      <c r="H182" t="s">
        <v>413</v>
      </c>
      <c r="I182" s="6">
        <v>3878.54</v>
      </c>
      <c r="J182" s="6">
        <v>107.04</v>
      </c>
      <c r="K182" s="6">
        <v>0</v>
      </c>
      <c r="L182" s="6"/>
      <c r="M182" s="6"/>
      <c r="N182" s="6"/>
      <c r="O182" s="6"/>
      <c r="P182" s="6"/>
      <c r="Q182" s="6"/>
      <c r="R182" s="6">
        <v>3985.58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3985.58</v>
      </c>
      <c r="AB182" s="6">
        <f>R182-X182-Y182</f>
      </c>
      <c r="AC182" s="6">
        <f>U182+V182+W182</f>
      </c>
      <c r="AD182" s="7">
        <v>46112</v>
      </c>
      <c r="AE182" t="s">
        <v>41</v>
      </c>
      <c r="AF182" s="8">
        <f>R182-S182+T182-U182-V182-W182-X182-Y182-Z182-AA182</f>
      </c>
    </row>
    <row r="183" spans="1:32" x14ac:dyDescent="0.25">
      <c r="A183" s="5">
        <v>46108</v>
      </c>
      <c r="B183" s="5">
        <v>46108</v>
      </c>
      <c r="C183" s="5">
        <v>2080</v>
      </c>
      <c r="D183">
        <v>48163</v>
      </c>
      <c r="E183" t="s">
        <v>414</v>
      </c>
      <c r="F183" t="s">
        <v>317</v>
      </c>
      <c r="G183" t="s">
        <v>308</v>
      </c>
      <c r="H183" t="s">
        <v>415</v>
      </c>
      <c r="I183" s="6">
        <v>2964.68</v>
      </c>
      <c r="J183" s="6">
        <v>498.89</v>
      </c>
      <c r="K183" s="6">
        <v>0</v>
      </c>
      <c r="L183" s="6"/>
      <c r="M183" s="6"/>
      <c r="N183" s="6"/>
      <c r="O183" s="6"/>
      <c r="P183" s="6"/>
      <c r="Q183" s="6"/>
      <c r="R183" s="6">
        <v>3463.57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3463.57</v>
      </c>
      <c r="AB183" s="6">
        <f>R183-X183-Y183</f>
      </c>
      <c r="AC183" s="6">
        <f>U183+V183+W183</f>
      </c>
      <c r="AD183" s="7">
        <v>46112</v>
      </c>
      <c r="AE183" t="s">
        <v>416</v>
      </c>
      <c r="AF183" s="8">
        <f>R183-S183+T183-U183-V183-W183-X183-Y183-Z183-AA183</f>
      </c>
    </row>
    <row r="184" spans="1:32" x14ac:dyDescent="0.25">
      <c r="A184" s="5">
        <v>46108</v>
      </c>
      <c r="B184" s="5">
        <v>46108</v>
      </c>
      <c r="C184" s="5">
        <v>1006</v>
      </c>
      <c r="D184">
        <v>48172</v>
      </c>
      <c r="E184" t="s">
        <v>417</v>
      </c>
      <c r="F184" t="s">
        <v>317</v>
      </c>
      <c r="G184" t="s">
        <v>308</v>
      </c>
      <c r="H184" t="s">
        <v>418</v>
      </c>
      <c r="I184" s="6">
        <v>2019.25</v>
      </c>
      <c r="J184" s="6">
        <v>19</v>
      </c>
      <c r="K184" s="6">
        <v>0</v>
      </c>
      <c r="L184" s="6"/>
      <c r="M184" s="6"/>
      <c r="N184" s="6"/>
      <c r="O184" s="6"/>
      <c r="P184" s="6"/>
      <c r="Q184" s="6"/>
      <c r="R184" s="6">
        <v>2038.25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2038.25</v>
      </c>
      <c r="AB184" s="6">
        <f>R184-X184-Y184</f>
      </c>
      <c r="AC184" s="6">
        <f>U184+V184+W184</f>
      </c>
      <c r="AD184" s="7">
        <v>46112</v>
      </c>
      <c r="AE184" t="s">
        <v>37</v>
      </c>
      <c r="AF184" s="8">
        <f>R184-S184+T184-U184-V184-W184-X184-Y184-Z184-AA184</f>
      </c>
    </row>
    <row r="185" spans="1:32" x14ac:dyDescent="0.25">
      <c r="A185" s="5">
        <v>46108</v>
      </c>
      <c r="B185" s="5">
        <v>46108</v>
      </c>
      <c r="C185" s="5">
        <v>176</v>
      </c>
      <c r="D185">
        <v>48091</v>
      </c>
      <c r="E185" t="s">
        <v>419</v>
      </c>
      <c r="F185" t="s">
        <v>317</v>
      </c>
      <c r="G185" t="s">
        <v>308</v>
      </c>
      <c r="H185" t="s">
        <v>420</v>
      </c>
      <c r="I185" s="6">
        <v>950.5</v>
      </c>
      <c r="J185" s="6">
        <v>1343.75</v>
      </c>
      <c r="K185" s="6">
        <v>0</v>
      </c>
      <c r="L185" s="6"/>
      <c r="M185" s="6"/>
      <c r="N185" s="6"/>
      <c r="O185" s="6"/>
      <c r="P185" s="6"/>
      <c r="Q185" s="6"/>
      <c r="R185" s="6">
        <v>2294.25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2294.25</v>
      </c>
      <c r="AB185" s="6">
        <f>R185-X185-Y185</f>
      </c>
      <c r="AC185" s="6">
        <f>U185+V185+W185</f>
      </c>
      <c r="AD185" s="7">
        <v>46112</v>
      </c>
      <c r="AE185" t="s">
        <v>37</v>
      </c>
      <c r="AF185" s="8">
        <f>R185-S185+T185-U185-V185-W185-X185-Y185-Z185-AA185</f>
      </c>
    </row>
    <row r="186" spans="1:32" x14ac:dyDescent="0.25">
      <c r="A186" s="5">
        <v>46108</v>
      </c>
      <c r="B186" s="5">
        <v>46108</v>
      </c>
      <c r="C186" s="5">
        <v>1082</v>
      </c>
      <c r="D186">
        <v>48234</v>
      </c>
      <c r="E186" t="s">
        <v>421</v>
      </c>
      <c r="F186" t="s">
        <v>311</v>
      </c>
      <c r="G186" t="s">
        <v>308</v>
      </c>
      <c r="H186" t="s">
        <v>422</v>
      </c>
      <c r="I186" s="6">
        <v>441.04</v>
      </c>
      <c r="J186" s="6">
        <v>146.88</v>
      </c>
      <c r="K186" s="6">
        <v>0</v>
      </c>
      <c r="L186" s="6"/>
      <c r="M186" s="6"/>
      <c r="N186" s="6"/>
      <c r="O186" s="6"/>
      <c r="P186" s="6"/>
      <c r="Q186" s="6"/>
      <c r="R186" s="6">
        <v>587.92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12.76</v>
      </c>
      <c r="Z186" s="6">
        <v>0</v>
      </c>
      <c r="AA186" s="6">
        <v>575.16</v>
      </c>
      <c r="AB186" s="6">
        <f>R186-X186-Y186</f>
      </c>
      <c r="AC186" s="6">
        <f>U186+V186+W186</f>
      </c>
      <c r="AD186" s="7">
        <v>46112</v>
      </c>
      <c r="AE186" t="s">
        <v>384</v>
      </c>
      <c r="AF186" s="8">
        <f>R186-S186+T186-U186-V186-W186-X186-Y186-Z186-AA186</f>
      </c>
    </row>
    <row r="187" spans="1:32" x14ac:dyDescent="0.25">
      <c r="A187" s="5">
        <v>46108</v>
      </c>
      <c r="B187" s="5">
        <v>46108</v>
      </c>
      <c r="C187" s="5">
        <v>935</v>
      </c>
      <c r="D187">
        <v>48077</v>
      </c>
      <c r="E187" t="s">
        <v>423</v>
      </c>
      <c r="F187" t="s">
        <v>424</v>
      </c>
      <c r="G187" t="s">
        <v>308</v>
      </c>
      <c r="H187" t="s">
        <v>425</v>
      </c>
      <c r="I187" s="6">
        <v>570.24</v>
      </c>
      <c r="J187" s="6">
        <v>985.95</v>
      </c>
      <c r="K187" s="6">
        <v>0</v>
      </c>
      <c r="L187" s="6"/>
      <c r="M187" s="6"/>
      <c r="N187" s="6"/>
      <c r="O187" s="6"/>
      <c r="P187" s="6"/>
      <c r="Q187" s="6"/>
      <c r="R187" s="6">
        <v>1556.19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42.17</v>
      </c>
      <c r="Z187" s="6">
        <v>0</v>
      </c>
      <c r="AA187" s="6">
        <v>1514.02</v>
      </c>
      <c r="AB187" s="6">
        <f>R187-X187-Y187</f>
      </c>
      <c r="AC187" s="6">
        <f>U187+V187+W187</f>
      </c>
      <c r="AD187" s="7">
        <v>46112</v>
      </c>
      <c r="AE187" t="s">
        <v>384</v>
      </c>
      <c r="AF187" s="8">
        <f>R187-S187+T187-U187-V187-W187-X187-Y187-Z187-AA187</f>
      </c>
    </row>
    <row r="188" spans="1:32" x14ac:dyDescent="0.25">
      <c r="A188" s="5">
        <v>46108</v>
      </c>
      <c r="B188" s="5">
        <v>46108</v>
      </c>
      <c r="C188" s="5">
        <v>654</v>
      </c>
      <c r="D188">
        <v>48187</v>
      </c>
      <c r="E188" t="s">
        <v>426</v>
      </c>
      <c r="F188" t="s">
        <v>400</v>
      </c>
      <c r="G188" t="s">
        <v>308</v>
      </c>
      <c r="H188" t="s">
        <v>427</v>
      </c>
      <c r="I188" s="6">
        <v>2603.52</v>
      </c>
      <c r="J188" s="6">
        <v>534.32</v>
      </c>
      <c r="K188" s="6">
        <v>0</v>
      </c>
      <c r="L188" s="6"/>
      <c r="M188" s="6"/>
      <c r="N188" s="6"/>
      <c r="O188" s="6"/>
      <c r="P188" s="6"/>
      <c r="Q188" s="6"/>
      <c r="R188" s="6">
        <v>3137.84</v>
      </c>
      <c r="S188" s="6">
        <v>0</v>
      </c>
      <c r="T188" s="6">
        <v>0</v>
      </c>
      <c r="U188" s="6">
        <v>20.4</v>
      </c>
      <c r="V188" s="6">
        <v>94.14</v>
      </c>
      <c r="W188" s="6">
        <v>31.38</v>
      </c>
      <c r="X188" s="6">
        <v>0</v>
      </c>
      <c r="Y188" s="6">
        <v>0</v>
      </c>
      <c r="Z188" s="6">
        <v>47.07</v>
      </c>
      <c r="AA188" s="6">
        <v>2944.85</v>
      </c>
      <c r="AB188" s="6">
        <f>R188-X188-Y188</f>
      </c>
      <c r="AC188" s="6">
        <f>U188+V188+W188</f>
      </c>
      <c r="AD188" s="7">
        <v>46112</v>
      </c>
      <c r="AE188" t="s">
        <v>64</v>
      </c>
      <c r="AF188" s="8">
        <f>R188-S188+T188-U188-V188-W188-X188-Y188-Z188-AA188</f>
      </c>
    </row>
    <row r="189" spans="1:32" x14ac:dyDescent="0.25">
      <c r="A189" s="5">
        <v>46108</v>
      </c>
      <c r="B189" s="5">
        <v>46108</v>
      </c>
      <c r="C189" s="5">
        <v>1049</v>
      </c>
      <c r="D189">
        <v>48132</v>
      </c>
      <c r="E189" t="s">
        <v>428</v>
      </c>
      <c r="F189" t="s">
        <v>317</v>
      </c>
      <c r="G189" t="s">
        <v>308</v>
      </c>
      <c r="H189" t="s">
        <v>429</v>
      </c>
      <c r="I189" s="6">
        <v>554</v>
      </c>
      <c r="J189" s="6">
        <v>277</v>
      </c>
      <c r="K189" s="6">
        <v>0</v>
      </c>
      <c r="L189" s="6"/>
      <c r="M189" s="6"/>
      <c r="N189" s="6"/>
      <c r="O189" s="6"/>
      <c r="P189" s="6"/>
      <c r="Q189" s="6"/>
      <c r="R189" s="6">
        <v>831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831</v>
      </c>
      <c r="AB189" s="6">
        <f>R189-X189-Y189</f>
      </c>
      <c r="AC189" s="6">
        <f>U189+V189+W189</f>
      </c>
      <c r="AD189" s="7">
        <v>46112</v>
      </c>
      <c r="AE189" t="s">
        <v>48</v>
      </c>
      <c r="AF189" s="8">
        <f>R189-S189+T189-U189-V189-W189-X189-Y189-Z189-AA189</f>
      </c>
    </row>
    <row r="190" spans="1:32" x14ac:dyDescent="0.25">
      <c r="A190" s="5">
        <v>46108</v>
      </c>
      <c r="B190" s="5">
        <v>46108</v>
      </c>
      <c r="C190" s="5">
        <v>2076</v>
      </c>
      <c r="D190">
        <v>48084</v>
      </c>
      <c r="E190" t="s">
        <v>430</v>
      </c>
      <c r="F190" t="s">
        <v>311</v>
      </c>
      <c r="G190" t="s">
        <v>308</v>
      </c>
      <c r="H190" t="s">
        <v>431</v>
      </c>
      <c r="I190" s="6">
        <v>889.45</v>
      </c>
      <c r="J190" s="6">
        <v>702.66</v>
      </c>
      <c r="K190" s="6">
        <v>0</v>
      </c>
      <c r="L190" s="6"/>
      <c r="M190" s="6"/>
      <c r="N190" s="6"/>
      <c r="O190" s="6"/>
      <c r="P190" s="6"/>
      <c r="Q190" s="6"/>
      <c r="R190" s="6">
        <v>1592.11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34.55</v>
      </c>
      <c r="Z190" s="6">
        <v>0</v>
      </c>
      <c r="AA190" s="6">
        <v>1557.56</v>
      </c>
      <c r="AB190" s="6">
        <f>R190-X190-Y190</f>
      </c>
      <c r="AC190" s="6">
        <f>U190+V190+W190</f>
      </c>
      <c r="AD190" s="7">
        <v>46112</v>
      </c>
      <c r="AE190" t="s">
        <v>61</v>
      </c>
      <c r="AF190" s="8">
        <f>R190-S190+T190-U190-V190-W190-X190-Y190-Z190-AA190</f>
      </c>
    </row>
    <row r="191" spans="1:32" x14ac:dyDescent="0.25">
      <c r="A191" s="5">
        <v>46108</v>
      </c>
      <c r="B191" s="5">
        <v>46108</v>
      </c>
      <c r="C191" s="5">
        <v>2016</v>
      </c>
      <c r="D191">
        <v>48209</v>
      </c>
      <c r="E191" t="s">
        <v>432</v>
      </c>
      <c r="F191" t="s">
        <v>311</v>
      </c>
      <c r="G191" t="s">
        <v>308</v>
      </c>
      <c r="H191" t="s">
        <v>433</v>
      </c>
      <c r="I191" s="6">
        <v>662.03</v>
      </c>
      <c r="J191" s="6">
        <v>149.04</v>
      </c>
      <c r="K191" s="6">
        <v>0</v>
      </c>
      <c r="L191" s="6"/>
      <c r="M191" s="6"/>
      <c r="N191" s="6"/>
      <c r="O191" s="6"/>
      <c r="P191" s="6"/>
      <c r="Q191" s="6"/>
      <c r="R191" s="6">
        <v>811.07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17.6</v>
      </c>
      <c r="Z191" s="6">
        <v>0</v>
      </c>
      <c r="AA191" s="6">
        <v>793.47</v>
      </c>
      <c r="AB191" s="6">
        <f>R191-X191-Y191</f>
      </c>
      <c r="AC191" s="6">
        <f>U191+V191+W191</f>
      </c>
      <c r="AD191" s="7">
        <v>46112</v>
      </c>
      <c r="AE191" t="s">
        <v>48</v>
      </c>
      <c r="AF191" s="8">
        <f>R191-S191+T191-U191-V191-W191-X191-Y191-Z191-AA191</f>
      </c>
    </row>
    <row r="192" spans="1:32" x14ac:dyDescent="0.25">
      <c r="A192" s="5">
        <v>46108</v>
      </c>
      <c r="B192" s="5">
        <v>46108</v>
      </c>
      <c r="C192" s="5">
        <v>2019</v>
      </c>
      <c r="D192">
        <v>48061</v>
      </c>
      <c r="E192" t="s">
        <v>434</v>
      </c>
      <c r="F192" t="s">
        <v>311</v>
      </c>
      <c r="G192" t="s">
        <v>308</v>
      </c>
      <c r="H192" t="s">
        <v>435</v>
      </c>
      <c r="I192" s="6">
        <v>1766.24</v>
      </c>
      <c r="J192" s="6">
        <v>864.58</v>
      </c>
      <c r="K192" s="6">
        <v>0</v>
      </c>
      <c r="L192" s="6"/>
      <c r="M192" s="6"/>
      <c r="N192" s="6"/>
      <c r="O192" s="6"/>
      <c r="P192" s="6"/>
      <c r="Q192" s="6"/>
      <c r="R192" s="6">
        <v>2630.82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131.54</v>
      </c>
      <c r="Z192" s="6">
        <v>0</v>
      </c>
      <c r="AA192" s="6">
        <v>2499.28</v>
      </c>
      <c r="AB192" s="6">
        <f>R192-X192-Y192</f>
      </c>
      <c r="AC192" s="6">
        <f>U192+V192+W192</f>
      </c>
      <c r="AD192" s="7">
        <v>46112</v>
      </c>
      <c r="AE192" t="s">
        <v>436</v>
      </c>
      <c r="AF192" s="8">
        <f>R192-S192+T192-U192-V192-W192-X192-Y192-Z192-AA192</f>
      </c>
    </row>
    <row r="193" spans="1:32" x14ac:dyDescent="0.25">
      <c r="A193" s="5">
        <v>46108</v>
      </c>
      <c r="B193" s="5">
        <v>46108</v>
      </c>
      <c r="C193" s="5">
        <v>1040</v>
      </c>
      <c r="D193">
        <v>48225</v>
      </c>
      <c r="E193" t="s">
        <v>437</v>
      </c>
      <c r="F193" t="s">
        <v>438</v>
      </c>
      <c r="G193" t="s">
        <v>308</v>
      </c>
      <c r="H193" t="s">
        <v>439</v>
      </c>
      <c r="I193" s="6">
        <v>476.31</v>
      </c>
      <c r="J193" s="6">
        <v>436.45</v>
      </c>
      <c r="K193" s="6">
        <v>0</v>
      </c>
      <c r="L193" s="6"/>
      <c r="M193" s="6"/>
      <c r="N193" s="6"/>
      <c r="O193" s="6"/>
      <c r="P193" s="6"/>
      <c r="Q193" s="6"/>
      <c r="R193" s="6">
        <v>912.76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19.81</v>
      </c>
      <c r="Z193" s="6">
        <v>0</v>
      </c>
      <c r="AA193" s="6">
        <v>892.95</v>
      </c>
      <c r="AB193" s="6">
        <f>R193-X193-Y193</f>
      </c>
      <c r="AC193" s="6">
        <f>U193+V193+W193</f>
      </c>
      <c r="AD193" s="7">
        <v>46112</v>
      </c>
      <c r="AE193" t="s">
        <v>41</v>
      </c>
      <c r="AF193" s="8">
        <f>R193-S193+T193-U193-V193-W193-X193-Y193-Z193-AA193</f>
      </c>
    </row>
    <row r="194" spans="1:32" x14ac:dyDescent="0.25">
      <c r="A194" s="5">
        <v>46108</v>
      </c>
      <c r="B194" s="5">
        <v>46108</v>
      </c>
      <c r="C194" s="5">
        <v>1079</v>
      </c>
      <c r="D194">
        <v>48169</v>
      </c>
      <c r="E194" t="s">
        <v>440</v>
      </c>
      <c r="F194" t="s">
        <v>317</v>
      </c>
      <c r="G194" t="s">
        <v>308</v>
      </c>
      <c r="H194" t="s">
        <v>441</v>
      </c>
      <c r="I194" s="6">
        <v>1612.82</v>
      </c>
      <c r="J194" s="6">
        <v>0</v>
      </c>
      <c r="K194" s="6">
        <v>0</v>
      </c>
      <c r="L194" s="6"/>
      <c r="M194" s="6"/>
      <c r="N194" s="6"/>
      <c r="O194" s="6"/>
      <c r="P194" s="6"/>
      <c r="Q194" s="6"/>
      <c r="R194" s="6">
        <v>1612.82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1612.82</v>
      </c>
      <c r="AB194" s="6">
        <f>R194-X194-Y194</f>
      </c>
      <c r="AC194" s="6">
        <f>U194+V194+W194</f>
      </c>
      <c r="AD194" s="7">
        <v>46112</v>
      </c>
      <c r="AE194" t="s">
        <v>384</v>
      </c>
      <c r="AF194" s="8">
        <f>R194-S194+T194-U194-V194-W194-X194-Y194-Z194-AA194</f>
      </c>
    </row>
    <row r="195" spans="1:32" x14ac:dyDescent="0.25">
      <c r="A195" s="5">
        <v>46108</v>
      </c>
      <c r="B195" s="5">
        <v>46108</v>
      </c>
      <c r="C195" s="5">
        <v>1034</v>
      </c>
      <c r="D195">
        <v>48086</v>
      </c>
      <c r="E195" t="s">
        <v>442</v>
      </c>
      <c r="F195" t="s">
        <v>311</v>
      </c>
      <c r="G195" t="s">
        <v>308</v>
      </c>
      <c r="H195" t="s">
        <v>443</v>
      </c>
      <c r="I195" s="6">
        <v>851.42</v>
      </c>
      <c r="J195" s="6">
        <v>1248.58</v>
      </c>
      <c r="K195" s="6">
        <v>0</v>
      </c>
      <c r="L195" s="6"/>
      <c r="M195" s="6"/>
      <c r="N195" s="6"/>
      <c r="O195" s="6"/>
      <c r="P195" s="6"/>
      <c r="Q195" s="6"/>
      <c r="R195" s="6">
        <v>2100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42.21</v>
      </c>
      <c r="Z195" s="6">
        <v>0</v>
      </c>
      <c r="AA195" s="6">
        <v>2057.79</v>
      </c>
      <c r="AB195" s="6">
        <f>R195-X195-Y195</f>
      </c>
      <c r="AC195" s="6">
        <f>U195+V195+W195</f>
      </c>
      <c r="AD195" s="7">
        <v>46112</v>
      </c>
      <c r="AE195" t="s">
        <v>61</v>
      </c>
      <c r="AF195" s="8">
        <f>R195-S195+T195-U195-V195-W195-X195-Y195-Z195-AA195</f>
      </c>
    </row>
    <row r="196" spans="1:32" x14ac:dyDescent="0.25">
      <c r="A196" s="5">
        <v>46108</v>
      </c>
      <c r="B196" s="5">
        <v>46108</v>
      </c>
      <c r="C196" s="5">
        <v>701</v>
      </c>
      <c r="D196">
        <v>48073</v>
      </c>
      <c r="E196" t="s">
        <v>444</v>
      </c>
      <c r="F196" t="s">
        <v>317</v>
      </c>
      <c r="G196" t="s">
        <v>308</v>
      </c>
      <c r="H196" t="s">
        <v>445</v>
      </c>
      <c r="I196" s="6">
        <v>9356.88</v>
      </c>
      <c r="J196" s="6">
        <v>3617.92</v>
      </c>
      <c r="K196" s="6">
        <v>0</v>
      </c>
      <c r="L196" s="6"/>
      <c r="M196" s="6"/>
      <c r="N196" s="6"/>
      <c r="O196" s="6"/>
      <c r="P196" s="6"/>
      <c r="Q196" s="6"/>
      <c r="R196" s="6">
        <v>12974.8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12974.8</v>
      </c>
      <c r="AB196" s="6">
        <f>R196-X196-Y196</f>
      </c>
      <c r="AC196" s="6">
        <f>U196+V196+W196</f>
      </c>
      <c r="AD196" s="7">
        <v>46112</v>
      </c>
      <c r="AE196" t="s">
        <v>327</v>
      </c>
      <c r="AF196" s="8">
        <f>R196-S196+T196-U196-V196-W196-X196-Y196-Z196-AA196</f>
      </c>
    </row>
    <row r="197" spans="1:32" x14ac:dyDescent="0.25">
      <c r="A197" s="5">
        <v>46090</v>
      </c>
      <c r="B197" s="5">
        <v>46090</v>
      </c>
      <c r="C197" s="5">
        <v>493</v>
      </c>
      <c r="D197">
        <v>47838</v>
      </c>
      <c r="E197" t="s">
        <v>446</v>
      </c>
      <c r="F197" t="s">
        <v>317</v>
      </c>
      <c r="G197" t="s">
        <v>308</v>
      </c>
      <c r="H197" t="s">
        <v>447</v>
      </c>
      <c r="I197" s="6">
        <v>2169.28</v>
      </c>
      <c r="J197" s="6">
        <v>499.26</v>
      </c>
      <c r="K197" s="6">
        <v>0</v>
      </c>
      <c r="L197" s="6"/>
      <c r="M197" s="6"/>
      <c r="N197" s="6"/>
      <c r="O197" s="6"/>
      <c r="P197" s="6"/>
      <c r="Q197" s="6"/>
      <c r="R197" s="6">
        <v>2668.54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2668.54</v>
      </c>
      <c r="AB197" s="6">
        <f>R197-X197-Y197</f>
      </c>
      <c r="AC197" s="6">
        <f>U197+V197+W197</f>
      </c>
      <c r="AD197" s="7">
        <v>46097</v>
      </c>
      <c r="AE197" t="s">
        <v>41</v>
      </c>
      <c r="AF197" s="8">
        <f>R197-S197+T197-U197-V197-W197-X197-Y197-Z197-AA197</f>
      </c>
    </row>
    <row r="198" spans="1:32" x14ac:dyDescent="0.25">
      <c r="A198" s="5">
        <v>46108</v>
      </c>
      <c r="B198" s="5">
        <v>46108</v>
      </c>
      <c r="C198" s="5">
        <v>493</v>
      </c>
      <c r="D198">
        <v>48178</v>
      </c>
      <c r="E198" t="s">
        <v>446</v>
      </c>
      <c r="F198" t="s">
        <v>317</v>
      </c>
      <c r="G198" t="s">
        <v>308</v>
      </c>
      <c r="H198" t="s">
        <v>447</v>
      </c>
      <c r="I198" s="6">
        <v>1044.38</v>
      </c>
      <c r="J198" s="6">
        <v>455.27</v>
      </c>
      <c r="K198" s="6">
        <v>0</v>
      </c>
      <c r="L198" s="6"/>
      <c r="M198" s="6"/>
      <c r="N198" s="6"/>
      <c r="O198" s="6"/>
      <c r="P198" s="6"/>
      <c r="Q198" s="6"/>
      <c r="R198" s="6">
        <v>1499.65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1499.65</v>
      </c>
      <c r="AB198" s="6">
        <f>R198-X198-Y198</f>
      </c>
      <c r="AC198" s="6">
        <f>U198+V198+W198</f>
      </c>
      <c r="AD198" s="7">
        <v>46112</v>
      </c>
      <c r="AE198" t="s">
        <v>41</v>
      </c>
      <c r="AF198" s="8">
        <f>R198-S198+T198-U198-V198-W198-X198-Y198-Z198-AA198</f>
      </c>
    </row>
    <row r="199" spans="1:32" x14ac:dyDescent="0.25">
      <c r="A199" s="5">
        <v>46108</v>
      </c>
      <c r="B199" s="5">
        <v>46108</v>
      </c>
      <c r="C199" s="5">
        <v>230</v>
      </c>
      <c r="D199">
        <v>48126</v>
      </c>
      <c r="E199" t="s">
        <v>448</v>
      </c>
      <c r="F199" t="s">
        <v>317</v>
      </c>
      <c r="G199" t="s">
        <v>308</v>
      </c>
      <c r="H199" t="s">
        <v>449</v>
      </c>
      <c r="I199" s="6">
        <v>77.43</v>
      </c>
      <c r="J199" s="6">
        <v>0</v>
      </c>
      <c r="K199" s="6">
        <v>0</v>
      </c>
      <c r="L199" s="6"/>
      <c r="M199" s="6"/>
      <c r="N199" s="6"/>
      <c r="O199" s="6"/>
      <c r="P199" s="6"/>
      <c r="Q199" s="6"/>
      <c r="R199" s="6">
        <v>77.43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77.43</v>
      </c>
      <c r="AB199" s="6">
        <f>R199-X199-Y199</f>
      </c>
      <c r="AC199" s="6">
        <f>U199+V199+W199</f>
      </c>
      <c r="AD199" s="7">
        <v>46112</v>
      </c>
      <c r="AE199" t="s">
        <v>176</v>
      </c>
      <c r="AF199" s="8">
        <f>R199-S199+T199-U199-V199-W199-X199-Y199-Z199-AA199</f>
      </c>
    </row>
    <row r="200" spans="1:32" x14ac:dyDescent="0.25">
      <c r="A200" s="5">
        <v>46108</v>
      </c>
      <c r="B200" s="5">
        <v>46108</v>
      </c>
      <c r="C200" s="5">
        <v>1038</v>
      </c>
      <c r="D200">
        <v>48220</v>
      </c>
      <c r="E200" t="s">
        <v>450</v>
      </c>
      <c r="F200" t="s">
        <v>354</v>
      </c>
      <c r="G200" t="s">
        <v>308</v>
      </c>
      <c r="H200" t="s">
        <v>451</v>
      </c>
      <c r="I200" s="6">
        <v>475.43</v>
      </c>
      <c r="J200" s="6">
        <v>241.5</v>
      </c>
      <c r="K200" s="6">
        <v>0</v>
      </c>
      <c r="L200" s="6"/>
      <c r="M200" s="6"/>
      <c r="N200" s="6"/>
      <c r="O200" s="6"/>
      <c r="P200" s="6"/>
      <c r="Q200" s="6"/>
      <c r="R200" s="6">
        <v>716.93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15.56</v>
      </c>
      <c r="Z200" s="6">
        <v>0</v>
      </c>
      <c r="AA200" s="6">
        <v>701.37</v>
      </c>
      <c r="AB200" s="6">
        <f>R200-X200-Y200</f>
      </c>
      <c r="AC200" s="6">
        <f>U200+V200+W200</f>
      </c>
      <c r="AD200" s="7">
        <v>46112</v>
      </c>
      <c r="AE200" t="s">
        <v>61</v>
      </c>
      <c r="AF200" s="8">
        <f>R200-S200+T200-U200-V200-W200-X200-Y200-Z200-AA200</f>
      </c>
    </row>
    <row r="201" spans="1:32" x14ac:dyDescent="0.25">
      <c r="A201" s="5">
        <v>46108</v>
      </c>
      <c r="B201" s="5">
        <v>46108</v>
      </c>
      <c r="C201" s="5">
        <v>1028</v>
      </c>
      <c r="D201">
        <v>48153</v>
      </c>
      <c r="E201" t="s">
        <v>452</v>
      </c>
      <c r="F201" t="s">
        <v>424</v>
      </c>
      <c r="G201" t="s">
        <v>308</v>
      </c>
      <c r="H201" t="s">
        <v>453</v>
      </c>
      <c r="I201" s="6">
        <v>1279.97</v>
      </c>
      <c r="J201" s="6">
        <v>1182.36</v>
      </c>
      <c r="K201" s="6">
        <v>0</v>
      </c>
      <c r="L201" s="6"/>
      <c r="M201" s="6"/>
      <c r="N201" s="6"/>
      <c r="O201" s="6"/>
      <c r="P201" s="6"/>
      <c r="Q201" s="6"/>
      <c r="R201" s="6">
        <v>2462.33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49.49</v>
      </c>
      <c r="Z201" s="6">
        <v>0</v>
      </c>
      <c r="AA201" s="6">
        <v>2412.84</v>
      </c>
      <c r="AB201" s="6">
        <f>R201-X201-Y201</f>
      </c>
      <c r="AC201" s="6">
        <f>U201+V201+W201</f>
      </c>
      <c r="AD201" s="7">
        <v>46112</v>
      </c>
      <c r="AE201" t="s">
        <v>61</v>
      </c>
      <c r="AF201" s="8">
        <f>R201-S201+T201-U201-V201-W201-X201-Y201-Z201-AA201</f>
      </c>
    </row>
    <row r="202" spans="1:32" x14ac:dyDescent="0.25">
      <c r="A202" s="5">
        <v>46108</v>
      </c>
      <c r="B202" s="5">
        <v>46108</v>
      </c>
      <c r="C202" s="5">
        <v>667</v>
      </c>
      <c r="D202">
        <v>48102</v>
      </c>
      <c r="E202" t="s">
        <v>454</v>
      </c>
      <c r="F202" t="s">
        <v>322</v>
      </c>
      <c r="G202" t="s">
        <v>308</v>
      </c>
      <c r="H202" t="s">
        <v>455</v>
      </c>
      <c r="I202" s="6">
        <v>3109.71</v>
      </c>
      <c r="J202" s="6">
        <v>577.77</v>
      </c>
      <c r="K202" s="6">
        <v>0</v>
      </c>
      <c r="L202" s="6"/>
      <c r="M202" s="6"/>
      <c r="N202" s="6"/>
      <c r="O202" s="6"/>
      <c r="P202" s="6"/>
      <c r="Q202" s="6"/>
      <c r="R202" s="6">
        <v>3687.48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3687.48</v>
      </c>
      <c r="AB202" s="6">
        <f>R202-X202-Y202</f>
      </c>
      <c r="AC202" s="6">
        <f>U202+V202+W202</f>
      </c>
      <c r="AD202" s="7">
        <v>46112</v>
      </c>
      <c r="AE202" t="s">
        <v>68</v>
      </c>
      <c r="AF202" s="8">
        <f>R202-S202+T202-U202-V202-W202-X202-Y202-Z202-AA202</f>
      </c>
    </row>
    <row r="203" spans="1:32" x14ac:dyDescent="0.25">
      <c r="A203" s="5">
        <v>46090</v>
      </c>
      <c r="B203" s="5">
        <v>46090</v>
      </c>
      <c r="C203" s="5">
        <v>970</v>
      </c>
      <c r="D203">
        <v>47864</v>
      </c>
      <c r="E203" t="s">
        <v>456</v>
      </c>
      <c r="F203" t="s">
        <v>317</v>
      </c>
      <c r="G203" t="s">
        <v>308</v>
      </c>
      <c r="H203" t="s">
        <v>457</v>
      </c>
      <c r="I203" s="6">
        <v>834.91</v>
      </c>
      <c r="J203" s="6">
        <v>157.46</v>
      </c>
      <c r="K203" s="6">
        <v>0</v>
      </c>
      <c r="L203" s="6"/>
      <c r="M203" s="6"/>
      <c r="N203" s="6"/>
      <c r="O203" s="6"/>
      <c r="P203" s="6"/>
      <c r="Q203" s="6"/>
      <c r="R203" s="6">
        <v>992.37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992.37</v>
      </c>
      <c r="AB203" s="6">
        <f>R203-X203-Y203</f>
      </c>
      <c r="AC203" s="6">
        <f>U203+V203+W203</f>
      </c>
      <c r="AD203" s="7">
        <v>46097</v>
      </c>
      <c r="AE203" t="s">
        <v>344</v>
      </c>
      <c r="AF203" s="8">
        <f>R203-S203+T203-U203-V203-W203-X203-Y203-Z203-AA203</f>
      </c>
    </row>
    <row r="204" spans="1:32" x14ac:dyDescent="0.25">
      <c r="A204" s="5">
        <v>46108</v>
      </c>
      <c r="B204" s="5">
        <v>46108</v>
      </c>
      <c r="C204" s="5">
        <v>622</v>
      </c>
      <c r="D204">
        <v>48224</v>
      </c>
      <c r="E204" t="s">
        <v>458</v>
      </c>
      <c r="F204" t="s">
        <v>317</v>
      </c>
      <c r="G204" t="s">
        <v>308</v>
      </c>
      <c r="H204" t="s">
        <v>459</v>
      </c>
      <c r="I204" s="6">
        <v>423.67</v>
      </c>
      <c r="J204" s="6">
        <v>67.89</v>
      </c>
      <c r="K204" s="6">
        <v>0</v>
      </c>
      <c r="L204" s="6"/>
      <c r="M204" s="6"/>
      <c r="N204" s="6"/>
      <c r="O204" s="6"/>
      <c r="P204" s="6"/>
      <c r="Q204" s="6"/>
      <c r="R204" s="6">
        <v>491.56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491.56</v>
      </c>
      <c r="AB204" s="6">
        <f>R204-X204-Y204</f>
      </c>
      <c r="AC204" s="6">
        <f>U204+V204+W204</f>
      </c>
      <c r="AD204" s="7">
        <v>46112</v>
      </c>
      <c r="AE204" t="s">
        <v>61</v>
      </c>
      <c r="AF204" s="8">
        <f>R204-S204+T204-U204-V204-W204-X204-Y204-Z204-AA204</f>
      </c>
    </row>
    <row r="205" spans="1:32" x14ac:dyDescent="0.25">
      <c r="A205" s="5">
        <v>46108</v>
      </c>
      <c r="B205" s="5">
        <v>46108</v>
      </c>
      <c r="C205" s="5">
        <v>2045</v>
      </c>
      <c r="D205">
        <v>48221</v>
      </c>
      <c r="E205" t="s">
        <v>460</v>
      </c>
      <c r="F205" t="s">
        <v>311</v>
      </c>
      <c r="G205" t="s">
        <v>308</v>
      </c>
      <c r="H205" t="s">
        <v>461</v>
      </c>
      <c r="I205" s="6">
        <v>285.48</v>
      </c>
      <c r="J205" s="6">
        <v>296.99</v>
      </c>
      <c r="K205" s="6">
        <v>0</v>
      </c>
      <c r="L205" s="6"/>
      <c r="M205" s="6"/>
      <c r="N205" s="6"/>
      <c r="O205" s="6"/>
      <c r="P205" s="6"/>
      <c r="Q205" s="6"/>
      <c r="R205" s="6">
        <v>582.47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15.73</v>
      </c>
      <c r="Z205" s="6">
        <v>0</v>
      </c>
      <c r="AA205" s="6">
        <v>566.74</v>
      </c>
      <c r="AB205" s="6">
        <f>R205-X205-Y205</f>
      </c>
      <c r="AC205" s="6">
        <f>U205+V205+W205</f>
      </c>
      <c r="AD205" s="7">
        <v>46112</v>
      </c>
      <c r="AE205" t="s">
        <v>226</v>
      </c>
      <c r="AF205" s="8">
        <f>R205-S205+T205-U205-V205-W205-X205-Y205-Z205-AA205</f>
      </c>
    </row>
    <row r="206" spans="1:32" x14ac:dyDescent="0.25">
      <c r="A206" s="5">
        <v>46090</v>
      </c>
      <c r="B206" s="5">
        <v>46090</v>
      </c>
      <c r="C206" s="5">
        <v>1039</v>
      </c>
      <c r="D206">
        <v>47832</v>
      </c>
      <c r="E206" t="s">
        <v>462</v>
      </c>
      <c r="F206" t="s">
        <v>325</v>
      </c>
      <c r="G206" t="s">
        <v>308</v>
      </c>
      <c r="H206" t="s">
        <v>463</v>
      </c>
      <c r="I206" s="6">
        <v>115.8</v>
      </c>
      <c r="J206" s="6">
        <v>119.66</v>
      </c>
      <c r="K206" s="6">
        <v>0</v>
      </c>
      <c r="L206" s="6"/>
      <c r="M206" s="6"/>
      <c r="N206" s="6"/>
      <c r="O206" s="6"/>
      <c r="P206" s="6"/>
      <c r="Q206" s="6"/>
      <c r="R206" s="6">
        <v>235.46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5.11</v>
      </c>
      <c r="Z206" s="6">
        <v>0</v>
      </c>
      <c r="AA206" s="6">
        <v>230.35</v>
      </c>
      <c r="AB206" s="6">
        <f>R206-X206-Y206</f>
      </c>
      <c r="AC206" s="6">
        <f>U206+V206+W206</f>
      </c>
      <c r="AD206" s="7">
        <v>46098</v>
      </c>
      <c r="AE206" t="s">
        <v>41</v>
      </c>
      <c r="AF206" s="8">
        <f>R206-S206+T206-U206-V206-W206-X206-Y206-Z206-AA206</f>
      </c>
    </row>
    <row r="207" spans="1:32" x14ac:dyDescent="0.25">
      <c r="A207" s="5">
        <v>46108</v>
      </c>
      <c r="B207" s="5">
        <v>46108</v>
      </c>
      <c r="C207" s="5">
        <v>1070</v>
      </c>
      <c r="D207">
        <v>48174</v>
      </c>
      <c r="E207" t="s">
        <v>464</v>
      </c>
      <c r="F207" t="s">
        <v>317</v>
      </c>
      <c r="G207" t="s">
        <v>308</v>
      </c>
      <c r="H207" t="s">
        <v>465</v>
      </c>
      <c r="I207" s="6">
        <v>1317</v>
      </c>
      <c r="J207" s="6">
        <v>660</v>
      </c>
      <c r="K207" s="6">
        <v>0</v>
      </c>
      <c r="L207" s="6"/>
      <c r="M207" s="6"/>
      <c r="N207" s="6"/>
      <c r="O207" s="6"/>
      <c r="P207" s="6"/>
      <c r="Q207" s="6"/>
      <c r="R207" s="6">
        <v>1977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1977</v>
      </c>
      <c r="AB207" s="6">
        <f>R207-X207-Y207</f>
      </c>
      <c r="AC207" s="6">
        <f>U207+V207+W207</f>
      </c>
      <c r="AD207" s="7">
        <v>46112</v>
      </c>
      <c r="AE207" t="s">
        <v>344</v>
      </c>
      <c r="AF207" s="8">
        <f>R207-S207+T207-U207-V207-W207-X207-Y207-Z207-AA207</f>
      </c>
    </row>
    <row r="208" spans="1:32" x14ac:dyDescent="0.25">
      <c r="A208" s="5">
        <v>46108</v>
      </c>
      <c r="B208" s="5">
        <v>46108</v>
      </c>
      <c r="C208" s="5">
        <v>434</v>
      </c>
      <c r="D208">
        <v>48068</v>
      </c>
      <c r="E208" t="s">
        <v>466</v>
      </c>
      <c r="F208" t="s">
        <v>325</v>
      </c>
      <c r="G208" t="s">
        <v>308</v>
      </c>
      <c r="H208" t="s">
        <v>467</v>
      </c>
      <c r="I208" s="6">
        <v>97.94</v>
      </c>
      <c r="J208" s="6">
        <v>202.64</v>
      </c>
      <c r="K208" s="6">
        <v>0</v>
      </c>
      <c r="L208" s="6"/>
      <c r="M208" s="6"/>
      <c r="N208" s="6"/>
      <c r="O208" s="6"/>
      <c r="P208" s="6"/>
      <c r="Q208" s="6"/>
      <c r="R208" s="6">
        <v>300.58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6.52</v>
      </c>
      <c r="Z208" s="6">
        <v>0</v>
      </c>
      <c r="AA208" s="6">
        <v>294.06</v>
      </c>
      <c r="AB208" s="6">
        <f>R208-X208-Y208</f>
      </c>
      <c r="AC208" s="6">
        <f>U208+V208+W208</f>
      </c>
      <c r="AD208" s="7">
        <v>46112</v>
      </c>
      <c r="AE208" t="s">
        <v>41</v>
      </c>
      <c r="AF208" s="8">
        <f>R208-S208+T208-U208-V208-W208-X208-Y208-Z208-AA208</f>
      </c>
    </row>
    <row r="209" spans="1:32" x14ac:dyDescent="0.25">
      <c r="A209" s="5">
        <v>46108</v>
      </c>
      <c r="B209" s="5">
        <v>46108</v>
      </c>
      <c r="C209" s="5">
        <v>30</v>
      </c>
      <c r="D209">
        <v>48204</v>
      </c>
      <c r="E209" t="s">
        <v>468</v>
      </c>
      <c r="F209" t="s">
        <v>317</v>
      </c>
      <c r="G209" t="s">
        <v>308</v>
      </c>
      <c r="H209" t="s">
        <v>469</v>
      </c>
      <c r="I209" s="6">
        <v>2121.03</v>
      </c>
      <c r="J209" s="6">
        <v>619.49</v>
      </c>
      <c r="K209" s="6">
        <v>0</v>
      </c>
      <c r="L209" s="6"/>
      <c r="M209" s="6"/>
      <c r="N209" s="6"/>
      <c r="O209" s="6"/>
      <c r="P209" s="6"/>
      <c r="Q209" s="6"/>
      <c r="R209" s="6">
        <v>2740.52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2740.52</v>
      </c>
      <c r="AB209" s="6">
        <f>R209-X209-Y209</f>
      </c>
      <c r="AC209" s="6">
        <f>U209+V209+W209</f>
      </c>
      <c r="AD209" s="7">
        <v>46112</v>
      </c>
      <c r="AE209" t="s">
        <v>41</v>
      </c>
      <c r="AF209" s="8">
        <f>R209-S209+T209-U209-V209-W209-X209-Y209-Z209-AA209</f>
      </c>
    </row>
    <row r="210" spans="1:32" x14ac:dyDescent="0.25">
      <c r="A210" s="5">
        <v>46108</v>
      </c>
      <c r="B210" s="5">
        <v>46108</v>
      </c>
      <c r="C210" s="5">
        <v>625</v>
      </c>
      <c r="D210">
        <v>48044</v>
      </c>
      <c r="E210" t="s">
        <v>470</v>
      </c>
      <c r="F210" t="s">
        <v>317</v>
      </c>
      <c r="G210" t="s">
        <v>308</v>
      </c>
      <c r="H210" t="s">
        <v>471</v>
      </c>
      <c r="I210" s="6">
        <v>4400.21</v>
      </c>
      <c r="J210" s="6">
        <v>1630.96</v>
      </c>
      <c r="K210" s="6">
        <v>0</v>
      </c>
      <c r="L210" s="6"/>
      <c r="M210" s="6"/>
      <c r="N210" s="6"/>
      <c r="O210" s="6"/>
      <c r="P210" s="6"/>
      <c r="Q210" s="6"/>
      <c r="R210" s="6">
        <v>6031.17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6031.17</v>
      </c>
      <c r="AB210" s="6">
        <f>R210-X210-Y210</f>
      </c>
      <c r="AC210" s="6">
        <f>U210+V210+W210</f>
      </c>
      <c r="AD210" s="7">
        <v>46112</v>
      </c>
      <c r="AE210" t="s">
        <v>44</v>
      </c>
      <c r="AF210" s="8">
        <f>R210-S210+T210-U210-V210-W210-X210-Y210-Z210-AA210</f>
      </c>
    </row>
    <row r="211" spans="1:32" x14ac:dyDescent="0.25">
      <c r="A211" s="5">
        <v>46108</v>
      </c>
      <c r="B211" s="5">
        <v>46108</v>
      </c>
      <c r="C211" s="5">
        <v>322</v>
      </c>
      <c r="D211">
        <v>48129</v>
      </c>
      <c r="E211" t="s">
        <v>472</v>
      </c>
      <c r="F211" t="s">
        <v>473</v>
      </c>
      <c r="G211" t="s">
        <v>308</v>
      </c>
      <c r="H211" t="s">
        <v>474</v>
      </c>
      <c r="I211" s="6">
        <v>777.82</v>
      </c>
      <c r="J211" s="6">
        <v>540.99</v>
      </c>
      <c r="K211" s="6">
        <v>0</v>
      </c>
      <c r="L211" s="6"/>
      <c r="M211" s="6"/>
      <c r="N211" s="6"/>
      <c r="O211" s="6"/>
      <c r="P211" s="6"/>
      <c r="Q211" s="6"/>
      <c r="R211" s="6">
        <v>1318.81</v>
      </c>
      <c r="S211" s="6">
        <v>0</v>
      </c>
      <c r="T211" s="6">
        <v>0</v>
      </c>
      <c r="U211" s="6">
        <v>8.57</v>
      </c>
      <c r="V211" s="6">
        <v>39.56</v>
      </c>
      <c r="W211" s="6">
        <v>13.19</v>
      </c>
      <c r="X211" s="6">
        <v>0</v>
      </c>
      <c r="Y211" s="6">
        <v>39.56</v>
      </c>
      <c r="Z211" s="6">
        <v>19.78</v>
      </c>
      <c r="AA211" s="6">
        <v>1198.15</v>
      </c>
      <c r="AB211" s="6">
        <f>R211-X211-Y211</f>
      </c>
      <c r="AC211" s="6">
        <f>U211+V211+W211</f>
      </c>
      <c r="AD211" s="7">
        <v>46112</v>
      </c>
      <c r="AE211" t="s">
        <v>68</v>
      </c>
      <c r="AF211" s="8">
        <f>R211-S211+T211-U211-V211-W211-X211-Y211-Z211-AA211</f>
      </c>
    </row>
    <row r="212" spans="1:32" x14ac:dyDescent="0.25">
      <c r="A212" s="5">
        <v>46108</v>
      </c>
      <c r="B212" s="5">
        <v>46108</v>
      </c>
      <c r="C212" s="5">
        <v>926</v>
      </c>
      <c r="D212">
        <v>48125</v>
      </c>
      <c r="E212" t="s">
        <v>475</v>
      </c>
      <c r="F212" t="s">
        <v>317</v>
      </c>
      <c r="G212" t="s">
        <v>308</v>
      </c>
      <c r="H212" t="s">
        <v>476</v>
      </c>
      <c r="I212" s="6">
        <v>2715.55</v>
      </c>
      <c r="J212" s="6">
        <v>598.42</v>
      </c>
      <c r="K212" s="6">
        <v>0</v>
      </c>
      <c r="L212" s="6"/>
      <c r="M212" s="6"/>
      <c r="N212" s="6"/>
      <c r="O212" s="6"/>
      <c r="P212" s="6"/>
      <c r="Q212" s="6"/>
      <c r="R212" s="6">
        <v>3313.97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3313.97</v>
      </c>
      <c r="AB212" s="6">
        <f>R212-X212-Y212</f>
      </c>
      <c r="AC212" s="6">
        <f>U212+V212+W212</f>
      </c>
      <c r="AD212" s="7">
        <v>46112</v>
      </c>
      <c r="AE212" t="s">
        <v>327</v>
      </c>
      <c r="AF212" s="8">
        <f>R212-S212+T212-U212-V212-W212-X212-Y212-Z212-AA212</f>
      </c>
    </row>
    <row r="213" spans="1:32" x14ac:dyDescent="0.25">
      <c r="A213" s="5">
        <v>46108</v>
      </c>
      <c r="B213" s="5">
        <v>46108</v>
      </c>
      <c r="C213" s="5">
        <v>833</v>
      </c>
      <c r="D213">
        <v>48034</v>
      </c>
      <c r="E213" t="s">
        <v>477</v>
      </c>
      <c r="F213" t="s">
        <v>317</v>
      </c>
      <c r="G213" t="s">
        <v>308</v>
      </c>
      <c r="H213" t="s">
        <v>478</v>
      </c>
      <c r="I213" s="6">
        <v>1983.1</v>
      </c>
      <c r="J213" s="6">
        <v>900.82</v>
      </c>
      <c r="K213" s="6">
        <v>0</v>
      </c>
      <c r="L213" s="6"/>
      <c r="M213" s="6"/>
      <c r="N213" s="6"/>
      <c r="O213" s="6"/>
      <c r="P213" s="6"/>
      <c r="Q213" s="6"/>
      <c r="R213" s="6">
        <v>2883.92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2883.92</v>
      </c>
      <c r="AB213" s="6">
        <f>R213-X213-Y213</f>
      </c>
      <c r="AC213" s="6">
        <f>U213+V213+W213</f>
      </c>
      <c r="AD213" s="7">
        <v>46112</v>
      </c>
      <c r="AE213" t="s">
        <v>61</v>
      </c>
      <c r="AF213" s="8">
        <f>R213-S213+T213-U213-V213-W213-X213-Y213-Z213-AA213</f>
      </c>
    </row>
    <row r="214" spans="1:32" x14ac:dyDescent="0.25">
      <c r="A214" s="5">
        <v>46108</v>
      </c>
      <c r="B214" s="5">
        <v>46108</v>
      </c>
      <c r="C214" s="5">
        <v>845</v>
      </c>
      <c r="D214">
        <v>48175</v>
      </c>
      <c r="E214" t="s">
        <v>479</v>
      </c>
      <c r="F214" t="s">
        <v>317</v>
      </c>
      <c r="G214" t="s">
        <v>308</v>
      </c>
      <c r="H214" t="s">
        <v>480</v>
      </c>
      <c r="I214" s="6">
        <v>2640</v>
      </c>
      <c r="J214" s="6">
        <v>704</v>
      </c>
      <c r="K214" s="6">
        <v>0</v>
      </c>
      <c r="L214" s="6"/>
      <c r="M214" s="6"/>
      <c r="N214" s="6"/>
      <c r="O214" s="6"/>
      <c r="P214" s="6"/>
      <c r="Q214" s="6"/>
      <c r="R214" s="6">
        <v>3344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3344</v>
      </c>
      <c r="AB214" s="6">
        <f>R214-X214-Y214</f>
      </c>
      <c r="AC214" s="6">
        <f>U214+V214+W214</f>
      </c>
      <c r="AD214" s="7">
        <v>46112</v>
      </c>
      <c r="AE214" t="s">
        <v>226</v>
      </c>
      <c r="AF214" s="8">
        <f>R214-S214+T214-U214-V214-W214-X214-Y214-Z214-AA214</f>
      </c>
    </row>
    <row r="215" spans="1:32" x14ac:dyDescent="0.25">
      <c r="A215" s="5">
        <v>46108</v>
      </c>
      <c r="B215" s="5">
        <v>46108</v>
      </c>
      <c r="C215" s="5">
        <v>1060</v>
      </c>
      <c r="D215">
        <v>48159</v>
      </c>
      <c r="E215" t="s">
        <v>481</v>
      </c>
      <c r="F215" t="s">
        <v>311</v>
      </c>
      <c r="G215" t="s">
        <v>308</v>
      </c>
      <c r="H215" t="s">
        <v>482</v>
      </c>
      <c r="I215" s="6">
        <v>545.13</v>
      </c>
      <c r="J215" s="6">
        <v>308.77</v>
      </c>
      <c r="K215" s="6">
        <v>0</v>
      </c>
      <c r="L215" s="6"/>
      <c r="M215" s="6"/>
      <c r="N215" s="6"/>
      <c r="O215" s="6"/>
      <c r="P215" s="6"/>
      <c r="Q215" s="6"/>
      <c r="R215" s="6">
        <v>853.9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18.53</v>
      </c>
      <c r="Z215" s="6">
        <v>0</v>
      </c>
      <c r="AA215" s="6">
        <v>835.37</v>
      </c>
      <c r="AB215" s="6">
        <f>R215-X215-Y215</f>
      </c>
      <c r="AC215" s="6">
        <f>U215+V215+W215</f>
      </c>
      <c r="AD215" s="7">
        <v>46112</v>
      </c>
      <c r="AE215" t="s">
        <v>41</v>
      </c>
      <c r="AF215" s="8">
        <f>R215-S215+T215-U215-V215-W215-X215-Y215-Z215-AA215</f>
      </c>
    </row>
    <row r="216" spans="1:32" x14ac:dyDescent="0.25">
      <c r="A216" s="5">
        <v>46108</v>
      </c>
      <c r="B216" s="5">
        <v>46108</v>
      </c>
      <c r="C216" s="5">
        <v>1033</v>
      </c>
      <c r="D216">
        <v>48177</v>
      </c>
      <c r="E216" t="s">
        <v>483</v>
      </c>
      <c r="F216" t="s">
        <v>317</v>
      </c>
      <c r="G216" t="s">
        <v>308</v>
      </c>
      <c r="H216" t="s">
        <v>484</v>
      </c>
      <c r="I216" s="6">
        <v>660.55</v>
      </c>
      <c r="J216" s="6">
        <v>172.2</v>
      </c>
      <c r="K216" s="6">
        <v>0</v>
      </c>
      <c r="L216" s="6"/>
      <c r="M216" s="6"/>
      <c r="N216" s="6"/>
      <c r="O216" s="6"/>
      <c r="P216" s="6"/>
      <c r="Q216" s="6"/>
      <c r="R216" s="6">
        <v>832.75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832.75</v>
      </c>
      <c r="AB216" s="6">
        <f>R216-X216-Y216</f>
      </c>
      <c r="AC216" s="6">
        <f>U216+V216+W216</f>
      </c>
      <c r="AD216" s="7">
        <v>46112</v>
      </c>
      <c r="AE216" t="s">
        <v>44</v>
      </c>
      <c r="AF216" s="8">
        <f>R216-S216+T216-U216-V216-W216-X216-Y216-Z216-AA216</f>
      </c>
    </row>
    <row r="217" spans="1:32" x14ac:dyDescent="0.25">
      <c r="A217" s="5">
        <v>46108</v>
      </c>
      <c r="B217" s="5">
        <v>46108</v>
      </c>
      <c r="C217" s="5">
        <v>480</v>
      </c>
      <c r="D217">
        <v>48211</v>
      </c>
      <c r="E217" t="s">
        <v>485</v>
      </c>
      <c r="F217" t="s">
        <v>317</v>
      </c>
      <c r="G217" t="s">
        <v>308</v>
      </c>
      <c r="H217" t="s">
        <v>486</v>
      </c>
      <c r="I217" s="6">
        <v>0</v>
      </c>
      <c r="J217" s="6">
        <v>19.08</v>
      </c>
      <c r="K217" s="6">
        <v>0</v>
      </c>
      <c r="L217" s="6"/>
      <c r="M217" s="6"/>
      <c r="N217" s="6"/>
      <c r="O217" s="6"/>
      <c r="P217" s="6"/>
      <c r="Q217" s="6"/>
      <c r="R217" s="6">
        <v>19.08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19.08</v>
      </c>
      <c r="AB217" s="6">
        <f>R217-X217-Y217</f>
      </c>
      <c r="AC217" s="6">
        <f>U217+V217+W217</f>
      </c>
      <c r="AD217" s="7">
        <v>46112</v>
      </c>
      <c r="AE217" t="s">
        <v>64</v>
      </c>
      <c r="AF217" s="8">
        <f>R217-S217+T217-U217-V217-W217-X217-Y217-Z217-AA217</f>
      </c>
    </row>
    <row r="218" spans="1:32" x14ac:dyDescent="0.25">
      <c r="A218" s="5">
        <v>46108</v>
      </c>
      <c r="B218" s="5">
        <v>46108</v>
      </c>
      <c r="C218" s="5">
        <v>991</v>
      </c>
      <c r="D218">
        <v>48185</v>
      </c>
      <c r="E218" t="s">
        <v>487</v>
      </c>
      <c r="F218" t="s">
        <v>317</v>
      </c>
      <c r="G218" t="s">
        <v>308</v>
      </c>
      <c r="H218" t="s">
        <v>488</v>
      </c>
      <c r="I218" s="6">
        <v>1672.44</v>
      </c>
      <c r="J218" s="6">
        <v>388.22</v>
      </c>
      <c r="K218" s="6">
        <v>0</v>
      </c>
      <c r="L218" s="6"/>
      <c r="M218" s="6"/>
      <c r="N218" s="6"/>
      <c r="O218" s="6"/>
      <c r="P218" s="6"/>
      <c r="Q218" s="6"/>
      <c r="R218" s="6">
        <v>2060.66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2060.66</v>
      </c>
      <c r="AB218" s="6">
        <f>R218-X218-Y218</f>
      </c>
      <c r="AC218" s="6">
        <f>U218+V218+W218</f>
      </c>
      <c r="AD218" s="7">
        <v>46112</v>
      </c>
      <c r="AE218" t="s">
        <v>41</v>
      </c>
      <c r="AF218" s="8">
        <f>R218-S218+T218-U218-V218-W218-X218-Y218-Z218-AA218</f>
      </c>
    </row>
    <row r="219" spans="1:32" x14ac:dyDescent="0.25">
      <c r="A219" s="5">
        <v>46108</v>
      </c>
      <c r="B219" s="5">
        <v>46108</v>
      </c>
      <c r="C219" s="5">
        <v>82788</v>
      </c>
      <c r="D219">
        <v>48181</v>
      </c>
      <c r="E219" t="s">
        <v>489</v>
      </c>
      <c r="F219" t="s">
        <v>317</v>
      </c>
      <c r="G219" t="s">
        <v>308</v>
      </c>
      <c r="H219" t="s">
        <v>490</v>
      </c>
      <c r="I219" s="6">
        <v>939.7</v>
      </c>
      <c r="J219" s="6">
        <v>0</v>
      </c>
      <c r="K219" s="6">
        <v>0</v>
      </c>
      <c r="L219" s="6"/>
      <c r="M219" s="6"/>
      <c r="N219" s="6"/>
      <c r="O219" s="6"/>
      <c r="P219" s="6"/>
      <c r="Q219" s="6"/>
      <c r="R219" s="6">
        <v>939.7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939.7</v>
      </c>
      <c r="AB219" s="6">
        <f>R219-X219-Y219</f>
      </c>
      <c r="AC219" s="6">
        <f>U219+V219+W219</f>
      </c>
      <c r="AD219" s="7">
        <v>46112</v>
      </c>
      <c r="AE219" t="s">
        <v>41</v>
      </c>
      <c r="AF219" s="8">
        <f>R219-S219+T219-U219-V219-W219-X219-Y219-Z219-AA219</f>
      </c>
    </row>
    <row r="220" spans="1:32" x14ac:dyDescent="0.25">
      <c r="A220" s="5">
        <v>46087</v>
      </c>
      <c r="B220" s="5">
        <v>46087</v>
      </c>
      <c r="C220" s="5">
        <v>46</v>
      </c>
      <c r="D220">
        <v>48031</v>
      </c>
      <c r="E220" t="s">
        <v>491</v>
      </c>
      <c r="F220" t="s">
        <v>492</v>
      </c>
      <c r="G220" t="s">
        <v>308</v>
      </c>
      <c r="H220" t="s">
        <v>493</v>
      </c>
      <c r="I220" s="6">
        <v>6715</v>
      </c>
      <c r="J220" s="6">
        <v>4335</v>
      </c>
      <c r="K220" s="6">
        <v>0</v>
      </c>
      <c r="L220" s="6"/>
      <c r="M220" s="6"/>
      <c r="N220" s="6"/>
      <c r="O220" s="6"/>
      <c r="P220" s="6"/>
      <c r="Q220" s="6"/>
      <c r="R220" s="6">
        <v>11050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310.51</v>
      </c>
      <c r="Z220" s="6">
        <v>0</v>
      </c>
      <c r="AA220" s="6">
        <v>10739.49</v>
      </c>
      <c r="AB220" s="6">
        <f>R220-X220-Y220</f>
      </c>
      <c r="AC220" s="6">
        <f>U220+V220+W220</f>
      </c>
      <c r="AD220" s="7">
        <v>46091</v>
      </c>
      <c r="AE220" t="s">
        <v>61</v>
      </c>
      <c r="AF220" s="8">
        <f>R220-S220+T220-U220-V220-W220-X220-Y220-Z220-AA220</f>
      </c>
    </row>
    <row r="221" spans="1:32" x14ac:dyDescent="0.25">
      <c r="A221" s="5">
        <v>46108</v>
      </c>
      <c r="B221" s="5">
        <v>46108</v>
      </c>
      <c r="C221" s="5">
        <v>977</v>
      </c>
      <c r="D221">
        <v>48190</v>
      </c>
      <c r="E221" t="s">
        <v>494</v>
      </c>
      <c r="F221" t="s">
        <v>317</v>
      </c>
      <c r="G221" t="s">
        <v>308</v>
      </c>
      <c r="H221" t="s">
        <v>495</v>
      </c>
      <c r="I221" s="6">
        <v>3261.51</v>
      </c>
      <c r="J221" s="6">
        <v>1243.37</v>
      </c>
      <c r="K221" s="6">
        <v>0</v>
      </c>
      <c r="L221" s="6"/>
      <c r="M221" s="6"/>
      <c r="N221" s="6"/>
      <c r="O221" s="6"/>
      <c r="P221" s="6"/>
      <c r="Q221" s="6"/>
      <c r="R221" s="6">
        <v>4504.88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4504.88</v>
      </c>
      <c r="AB221" s="6">
        <f>R221-X221-Y221</f>
      </c>
      <c r="AC221" s="6">
        <f>U221+V221+W221</f>
      </c>
      <c r="AD221" s="7">
        <v>46112</v>
      </c>
      <c r="AE221" t="s">
        <v>226</v>
      </c>
      <c r="AF221" s="8">
        <f>R221-S221+T221-U221-V221-W221-X221-Y221-Z221-AA221</f>
      </c>
    </row>
    <row r="222" spans="1:32" x14ac:dyDescent="0.25">
      <c r="A222" s="5">
        <v>46108</v>
      </c>
      <c r="B222" s="5">
        <v>46108</v>
      </c>
      <c r="C222" s="5">
        <v>919</v>
      </c>
      <c r="D222">
        <v>48194</v>
      </c>
      <c r="E222" t="s">
        <v>496</v>
      </c>
      <c r="F222" t="s">
        <v>317</v>
      </c>
      <c r="G222" t="s">
        <v>308</v>
      </c>
      <c r="H222" t="s">
        <v>497</v>
      </c>
      <c r="I222" s="6">
        <v>2098.39</v>
      </c>
      <c r="J222" s="6">
        <v>11.99</v>
      </c>
      <c r="K222" s="6">
        <v>0</v>
      </c>
      <c r="L222" s="6"/>
      <c r="M222" s="6"/>
      <c r="N222" s="6"/>
      <c r="O222" s="6"/>
      <c r="P222" s="6"/>
      <c r="Q222" s="6"/>
      <c r="R222" s="6">
        <v>2110.38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2110.38</v>
      </c>
      <c r="AB222" s="6">
        <f>R222-X222-Y222</f>
      </c>
      <c r="AC222" s="6">
        <f>U222+V222+W222</f>
      </c>
      <c r="AD222" s="7">
        <v>46112</v>
      </c>
      <c r="AE222" t="s">
        <v>44</v>
      </c>
      <c r="AF222" s="8">
        <f>R222-S222+T222-U222-V222-W222-X222-Y222-Z222-AA222</f>
      </c>
    </row>
    <row r="223" spans="1:32" x14ac:dyDescent="0.25">
      <c r="A223" s="5">
        <v>46108</v>
      </c>
      <c r="B223" s="5">
        <v>46108</v>
      </c>
      <c r="C223" s="5">
        <v>2006</v>
      </c>
      <c r="D223">
        <v>48093</v>
      </c>
      <c r="E223" t="s">
        <v>498</v>
      </c>
      <c r="F223" t="s">
        <v>317</v>
      </c>
      <c r="G223" t="s">
        <v>308</v>
      </c>
      <c r="H223" t="s">
        <v>499</v>
      </c>
      <c r="I223" s="6">
        <v>1341.78</v>
      </c>
      <c r="J223" s="6">
        <v>0</v>
      </c>
      <c r="K223" s="6">
        <v>0</v>
      </c>
      <c r="L223" s="6"/>
      <c r="M223" s="6"/>
      <c r="N223" s="6"/>
      <c r="O223" s="6"/>
      <c r="P223" s="6"/>
      <c r="Q223" s="6"/>
      <c r="R223" s="6">
        <v>1341.78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1341.78</v>
      </c>
      <c r="AB223" s="6">
        <f>R223-X223-Y223</f>
      </c>
      <c r="AC223" s="6">
        <f>U223+V223+W223</f>
      </c>
      <c r="AD223" s="7">
        <v>46112</v>
      </c>
      <c r="AE223" t="s">
        <v>48</v>
      </c>
      <c r="AF223" s="8">
        <f>R223-S223+T223-U223-V223-W223-X223-Y223-Z223-AA223</f>
      </c>
    </row>
    <row r="224" spans="1:32" x14ac:dyDescent="0.25">
      <c r="A224" s="5">
        <v>46108</v>
      </c>
      <c r="B224" s="5">
        <v>46108</v>
      </c>
      <c r="C224" s="5">
        <v>743</v>
      </c>
      <c r="D224">
        <v>48097</v>
      </c>
      <c r="E224" t="s">
        <v>500</v>
      </c>
      <c r="F224" t="s">
        <v>317</v>
      </c>
      <c r="G224" t="s">
        <v>308</v>
      </c>
      <c r="H224" t="s">
        <v>501</v>
      </c>
      <c r="I224" s="6">
        <v>583.04</v>
      </c>
      <c r="J224" s="6">
        <v>339.81</v>
      </c>
      <c r="K224" s="6">
        <v>0</v>
      </c>
      <c r="L224" s="6"/>
      <c r="M224" s="6"/>
      <c r="N224" s="6"/>
      <c r="O224" s="6"/>
      <c r="P224" s="6"/>
      <c r="Q224" s="6"/>
      <c r="R224" s="6">
        <v>922.85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922.85</v>
      </c>
      <c r="AB224" s="6">
        <f>R224-X224-Y224</f>
      </c>
      <c r="AC224" s="6">
        <f>U224+V224+W224</f>
      </c>
      <c r="AD224" s="7">
        <v>46112</v>
      </c>
      <c r="AE224" t="s">
        <v>41</v>
      </c>
      <c r="AF224" s="8">
        <f>R224-S224+T224-U224-V224-W224-X224-Y224-Z224-AA224</f>
      </c>
    </row>
    <row r="225" spans="1:32" x14ac:dyDescent="0.25">
      <c r="A225" s="5">
        <v>46108</v>
      </c>
      <c r="B225" s="5">
        <v>46108</v>
      </c>
      <c r="C225" s="5">
        <v>759</v>
      </c>
      <c r="D225">
        <v>48098</v>
      </c>
      <c r="E225" t="s">
        <v>500</v>
      </c>
      <c r="F225" t="s">
        <v>317</v>
      </c>
      <c r="G225" t="s">
        <v>308</v>
      </c>
      <c r="H225" t="s">
        <v>502</v>
      </c>
      <c r="I225" s="6">
        <v>869.04</v>
      </c>
      <c r="J225" s="6">
        <v>30.6</v>
      </c>
      <c r="K225" s="6">
        <v>0</v>
      </c>
      <c r="L225" s="6"/>
      <c r="M225" s="6"/>
      <c r="N225" s="6"/>
      <c r="O225" s="6"/>
      <c r="P225" s="6"/>
      <c r="Q225" s="6"/>
      <c r="R225" s="6">
        <v>899.64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899.64</v>
      </c>
      <c r="AB225" s="6">
        <f>R225-X225-Y225</f>
      </c>
      <c r="AC225" s="6">
        <f>U225+V225+W225</f>
      </c>
      <c r="AD225" s="7">
        <v>46112</v>
      </c>
      <c r="AE225" t="s">
        <v>41</v>
      </c>
      <c r="AF225" s="8">
        <f>R225-S225+T225-U225-V225-W225-X225-Y225-Z225-AA225</f>
      </c>
    </row>
    <row r="226" spans="1:32" x14ac:dyDescent="0.25">
      <c r="A226" s="5">
        <v>46108</v>
      </c>
      <c r="B226" s="5">
        <v>46108</v>
      </c>
      <c r="C226" s="5">
        <v>684</v>
      </c>
      <c r="D226">
        <v>48207</v>
      </c>
      <c r="E226" t="s">
        <v>503</v>
      </c>
      <c r="F226" t="s">
        <v>317</v>
      </c>
      <c r="G226" t="s">
        <v>308</v>
      </c>
      <c r="H226" t="s">
        <v>504</v>
      </c>
      <c r="I226" s="6">
        <v>308.98</v>
      </c>
      <c r="J226" s="6">
        <v>0</v>
      </c>
      <c r="K226" s="6">
        <v>0</v>
      </c>
      <c r="L226" s="6"/>
      <c r="M226" s="6"/>
      <c r="N226" s="6"/>
      <c r="O226" s="6"/>
      <c r="P226" s="6"/>
      <c r="Q226" s="6"/>
      <c r="R226" s="6">
        <v>308.98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308.98</v>
      </c>
      <c r="AB226" s="6">
        <f>R226-X226-Y226</f>
      </c>
      <c r="AC226" s="6">
        <f>U226+V226+W226</f>
      </c>
      <c r="AD226" s="7">
        <v>46112</v>
      </c>
      <c r="AE226" t="s">
        <v>327</v>
      </c>
      <c r="AF226" s="8">
        <f>R226-S226+T226-U226-V226-W226-X226-Y226-Z226-AA226</f>
      </c>
    </row>
    <row r="227" spans="1:32" x14ac:dyDescent="0.25">
      <c r="A227" s="5">
        <v>46108</v>
      </c>
      <c r="B227" s="5">
        <v>46108</v>
      </c>
      <c r="C227" s="5">
        <v>329</v>
      </c>
      <c r="D227">
        <v>48047</v>
      </c>
      <c r="E227" t="s">
        <v>505</v>
      </c>
      <c r="F227" t="s">
        <v>317</v>
      </c>
      <c r="G227" t="s">
        <v>308</v>
      </c>
      <c r="H227" t="s">
        <v>506</v>
      </c>
      <c r="I227" s="6">
        <v>2390.55</v>
      </c>
      <c r="J227" s="6">
        <v>319.42</v>
      </c>
      <c r="K227" s="6">
        <v>0</v>
      </c>
      <c r="L227" s="6"/>
      <c r="M227" s="6"/>
      <c r="N227" s="6"/>
      <c r="O227" s="6"/>
      <c r="P227" s="6"/>
      <c r="Q227" s="6"/>
      <c r="R227" s="6">
        <v>2709.97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2709.97</v>
      </c>
      <c r="AB227" s="6">
        <f>R227-X227-Y227</f>
      </c>
      <c r="AC227" s="6">
        <f>U227+V227+W227</f>
      </c>
      <c r="AD227" s="7">
        <v>46112</v>
      </c>
      <c r="AE227" t="s">
        <v>44</v>
      </c>
      <c r="AF227" s="8">
        <f>R227-S227+T227-U227-V227-W227-X227-Y227-Z227-AA227</f>
      </c>
    </row>
    <row r="228" spans="1:32" x14ac:dyDescent="0.25">
      <c r="A228" s="5">
        <v>46108</v>
      </c>
      <c r="B228" s="5">
        <v>46108</v>
      </c>
      <c r="C228" s="5">
        <v>2036</v>
      </c>
      <c r="D228">
        <v>48150</v>
      </c>
      <c r="E228" t="s">
        <v>507</v>
      </c>
      <c r="F228" t="s">
        <v>317</v>
      </c>
      <c r="G228" t="s">
        <v>308</v>
      </c>
      <c r="H228" t="s">
        <v>508</v>
      </c>
      <c r="I228" s="6">
        <v>1752.79</v>
      </c>
      <c r="J228" s="6">
        <v>428.26</v>
      </c>
      <c r="K228" s="6">
        <v>0</v>
      </c>
      <c r="L228" s="6"/>
      <c r="M228" s="6"/>
      <c r="N228" s="6"/>
      <c r="O228" s="6"/>
      <c r="P228" s="6"/>
      <c r="Q228" s="6"/>
      <c r="R228" s="6">
        <v>2181.05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2181.05</v>
      </c>
      <c r="AB228" s="6">
        <f>R228-X228-Y228</f>
      </c>
      <c r="AC228" s="6">
        <f>U228+V228+W228</f>
      </c>
      <c r="AD228" s="7">
        <v>46112</v>
      </c>
      <c r="AE228" t="s">
        <v>176</v>
      </c>
      <c r="AF228" s="8">
        <f>R228-S228+T228-U228-V228-W228-X228-Y228-Z228-AA228</f>
      </c>
    </row>
    <row r="229" spans="1:32" x14ac:dyDescent="0.25">
      <c r="A229" s="5">
        <v>46108</v>
      </c>
      <c r="B229" s="5">
        <v>46108</v>
      </c>
      <c r="C229" s="5">
        <v>749</v>
      </c>
      <c r="D229">
        <v>48208</v>
      </c>
      <c r="E229" t="s">
        <v>507</v>
      </c>
      <c r="F229" t="s">
        <v>317</v>
      </c>
      <c r="G229" t="s">
        <v>308</v>
      </c>
      <c r="H229" t="s">
        <v>508</v>
      </c>
      <c r="I229" s="6">
        <v>3432.48</v>
      </c>
      <c r="J229" s="6">
        <v>1151.42</v>
      </c>
      <c r="K229" s="6">
        <v>0</v>
      </c>
      <c r="L229" s="6"/>
      <c r="M229" s="6"/>
      <c r="N229" s="6"/>
      <c r="O229" s="6"/>
      <c r="P229" s="6"/>
      <c r="Q229" s="6"/>
      <c r="R229" s="6">
        <v>4583.9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4583.9</v>
      </c>
      <c r="AB229" s="6">
        <f>R229-X229-Y229</f>
      </c>
      <c r="AC229" s="6">
        <f>U229+V229+W229</f>
      </c>
      <c r="AD229" s="7">
        <v>46112</v>
      </c>
      <c r="AE229" t="s">
        <v>176</v>
      </c>
      <c r="AF229" s="8">
        <f>R229-S229+T229-U229-V229-W229-X229-Y229-Z229-AA229</f>
      </c>
    </row>
    <row r="230" spans="1:32" x14ac:dyDescent="0.25">
      <c r="A230" s="5">
        <v>46108</v>
      </c>
      <c r="B230" s="5">
        <v>46108</v>
      </c>
      <c r="C230" s="5">
        <v>347</v>
      </c>
      <c r="D230">
        <v>48043</v>
      </c>
      <c r="E230" t="s">
        <v>509</v>
      </c>
      <c r="F230" t="s">
        <v>317</v>
      </c>
      <c r="G230" t="s">
        <v>308</v>
      </c>
      <c r="H230" t="s">
        <v>510</v>
      </c>
      <c r="I230" s="6">
        <v>3532.49</v>
      </c>
      <c r="J230" s="6">
        <v>684.82</v>
      </c>
      <c r="K230" s="6">
        <v>0</v>
      </c>
      <c r="L230" s="6"/>
      <c r="M230" s="6"/>
      <c r="N230" s="6"/>
      <c r="O230" s="6"/>
      <c r="P230" s="6"/>
      <c r="Q230" s="6"/>
      <c r="R230" s="6">
        <v>4217.31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4217.31</v>
      </c>
      <c r="AB230" s="6">
        <f>R230-X230-Y230</f>
      </c>
      <c r="AC230" s="6">
        <f>U230+V230+W230</f>
      </c>
      <c r="AD230" s="7">
        <v>46112</v>
      </c>
      <c r="AE230" t="s">
        <v>41</v>
      </c>
      <c r="AF230" s="8">
        <f>R230-S230+T230-U230-V230-W230-X230-Y230-Z230-AA230</f>
      </c>
    </row>
    <row r="231" spans="1:32" x14ac:dyDescent="0.25">
      <c r="A231" s="5">
        <v>46108</v>
      </c>
      <c r="B231" s="5">
        <v>46108</v>
      </c>
      <c r="C231" s="5">
        <v>922</v>
      </c>
      <c r="D231">
        <v>48214</v>
      </c>
      <c r="E231" t="s">
        <v>511</v>
      </c>
      <c r="F231" t="s">
        <v>322</v>
      </c>
      <c r="G231" t="s">
        <v>308</v>
      </c>
      <c r="H231" t="s">
        <v>512</v>
      </c>
      <c r="I231" s="6">
        <v>7546.92</v>
      </c>
      <c r="J231" s="6">
        <v>1215.89</v>
      </c>
      <c r="K231" s="6">
        <v>0</v>
      </c>
      <c r="L231" s="6"/>
      <c r="M231" s="6"/>
      <c r="N231" s="6"/>
      <c r="O231" s="6"/>
      <c r="P231" s="6"/>
      <c r="Q231" s="6"/>
      <c r="R231" s="6">
        <v>8762.81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8762.81</v>
      </c>
      <c r="AB231" s="6">
        <f>R231-X231-Y231</f>
      </c>
      <c r="AC231" s="6">
        <f>U231+V231+W231</f>
      </c>
      <c r="AD231" s="7">
        <v>46112</v>
      </c>
      <c r="AE231" t="s">
        <v>68</v>
      </c>
      <c r="AF231" s="8">
        <f>R231-S231+T231-U231-V231-W231-X231-Y231-Z231-AA231</f>
      </c>
    </row>
    <row r="232" spans="1:32" x14ac:dyDescent="0.25">
      <c r="A232" s="5">
        <v>46090</v>
      </c>
      <c r="B232" s="5">
        <v>46090</v>
      </c>
      <c r="C232" s="5">
        <v>464</v>
      </c>
      <c r="D232">
        <v>47774</v>
      </c>
      <c r="E232" t="s">
        <v>513</v>
      </c>
      <c r="F232" t="s">
        <v>514</v>
      </c>
      <c r="G232" t="s">
        <v>308</v>
      </c>
      <c r="H232" t="s">
        <v>515</v>
      </c>
      <c r="I232" s="6">
        <v>445.66</v>
      </c>
      <c r="J232" s="6">
        <v>357.11</v>
      </c>
      <c r="K232" s="6">
        <v>0</v>
      </c>
      <c r="L232" s="6"/>
      <c r="M232" s="6"/>
      <c r="N232" s="6"/>
      <c r="O232" s="6"/>
      <c r="P232" s="6"/>
      <c r="Q232" s="6"/>
      <c r="R232" s="6">
        <v>802.77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17.42</v>
      </c>
      <c r="Z232" s="6">
        <v>0</v>
      </c>
      <c r="AA232" s="6">
        <v>785.35</v>
      </c>
      <c r="AB232" s="6">
        <f>R232-X232-Y232</f>
      </c>
      <c r="AC232" s="6">
        <f>U232+V232+W232</f>
      </c>
      <c r="AD232" s="7">
        <v>46097</v>
      </c>
      <c r="AE232" t="s">
        <v>384</v>
      </c>
      <c r="AF232" s="8">
        <f>R232-S232+T232-U232-V232-W232-X232-Y232-Z232-AA232</f>
      </c>
    </row>
    <row r="233" spans="1:32" x14ac:dyDescent="0.25">
      <c r="A233" s="5">
        <v>46108</v>
      </c>
      <c r="B233" s="5">
        <v>46108</v>
      </c>
      <c r="C233" s="5">
        <v>464</v>
      </c>
      <c r="D233">
        <v>48111</v>
      </c>
      <c r="E233" t="s">
        <v>513</v>
      </c>
      <c r="F233" t="s">
        <v>514</v>
      </c>
      <c r="G233" t="s">
        <v>308</v>
      </c>
      <c r="H233" t="s">
        <v>515</v>
      </c>
      <c r="I233" s="6">
        <v>611.44</v>
      </c>
      <c r="J233" s="6">
        <v>390.59</v>
      </c>
      <c r="K233" s="6">
        <v>0</v>
      </c>
      <c r="L233" s="6"/>
      <c r="M233" s="6"/>
      <c r="N233" s="6"/>
      <c r="O233" s="6"/>
      <c r="P233" s="6"/>
      <c r="Q233" s="6"/>
      <c r="R233" s="6">
        <v>1002.03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21.74</v>
      </c>
      <c r="Z233" s="6">
        <v>0</v>
      </c>
      <c r="AA233" s="6">
        <v>980.29</v>
      </c>
      <c r="AB233" s="6">
        <f>R233-X233-Y233</f>
      </c>
      <c r="AC233" s="6">
        <f>U233+V233+W233</f>
      </c>
      <c r="AD233" s="7">
        <v>46112</v>
      </c>
      <c r="AE233" t="s">
        <v>384</v>
      </c>
      <c r="AF233" s="8">
        <f>R233-S233+T233-U233-V233-W233-X233-Y233-Z233-AA233</f>
      </c>
    </row>
    <row r="234" spans="1:32" x14ac:dyDescent="0.25">
      <c r="A234" s="5">
        <v>46090</v>
      </c>
      <c r="B234" s="5">
        <v>46090</v>
      </c>
      <c r="C234" s="5">
        <v>1012</v>
      </c>
      <c r="D234">
        <v>47773</v>
      </c>
      <c r="E234" t="s">
        <v>516</v>
      </c>
      <c r="F234" t="s">
        <v>317</v>
      </c>
      <c r="G234" t="s">
        <v>308</v>
      </c>
      <c r="H234" t="s">
        <v>517</v>
      </c>
      <c r="I234" s="6">
        <v>1634.46</v>
      </c>
      <c r="J234" s="6">
        <v>503.16</v>
      </c>
      <c r="K234" s="6">
        <v>0</v>
      </c>
      <c r="L234" s="6"/>
      <c r="M234" s="6"/>
      <c r="N234" s="6"/>
      <c r="O234" s="6"/>
      <c r="P234" s="6"/>
      <c r="Q234" s="6"/>
      <c r="R234" s="6">
        <v>2137.62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2137.62</v>
      </c>
      <c r="AB234" s="6">
        <f>R234-X234-Y234</f>
      </c>
      <c r="AC234" s="6">
        <f>U234+V234+W234</f>
      </c>
      <c r="AD234" s="7">
        <v>46097</v>
      </c>
      <c r="AE234" t="s">
        <v>64</v>
      </c>
      <c r="AF234" s="8">
        <f>R234-S234+T234-U234-V234-W234-X234-Y234-Z234-AA234</f>
      </c>
    </row>
    <row r="235" spans="1:32" x14ac:dyDescent="0.25">
      <c r="A235" s="5">
        <v>46108</v>
      </c>
      <c r="B235" s="5">
        <v>46108</v>
      </c>
      <c r="C235" s="5">
        <v>1012</v>
      </c>
      <c r="D235">
        <v>48110</v>
      </c>
      <c r="E235" t="s">
        <v>516</v>
      </c>
      <c r="F235" t="s">
        <v>317</v>
      </c>
      <c r="G235" t="s">
        <v>308</v>
      </c>
      <c r="H235" t="s">
        <v>517</v>
      </c>
      <c r="I235" s="6">
        <v>756.76</v>
      </c>
      <c r="J235" s="6">
        <v>596.27</v>
      </c>
      <c r="K235" s="6">
        <v>0</v>
      </c>
      <c r="L235" s="6"/>
      <c r="M235" s="6"/>
      <c r="N235" s="6"/>
      <c r="O235" s="6"/>
      <c r="P235" s="6"/>
      <c r="Q235" s="6"/>
      <c r="R235" s="6">
        <v>1353.03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1353.03</v>
      </c>
      <c r="AB235" s="6">
        <f>R235-X235-Y235</f>
      </c>
      <c r="AC235" s="6">
        <f>U235+V235+W235</f>
      </c>
      <c r="AD235" s="7">
        <v>46112</v>
      </c>
      <c r="AE235" t="s">
        <v>64</v>
      </c>
      <c r="AF235" s="8">
        <f>R235-S235+T235-U235-V235-W235-X235-Y235-Z235-AA235</f>
      </c>
    </row>
    <row r="236" spans="1:32" x14ac:dyDescent="0.25">
      <c r="A236" s="5">
        <v>46108</v>
      </c>
      <c r="B236" s="5">
        <v>46108</v>
      </c>
      <c r="C236" s="5">
        <v>908</v>
      </c>
      <c r="D236">
        <v>48189</v>
      </c>
      <c r="E236" t="s">
        <v>518</v>
      </c>
      <c r="F236" t="s">
        <v>438</v>
      </c>
      <c r="G236" t="s">
        <v>308</v>
      </c>
      <c r="H236" t="s">
        <v>519</v>
      </c>
      <c r="I236" s="6">
        <v>570.4</v>
      </c>
      <c r="J236" s="6">
        <v>302.79</v>
      </c>
      <c r="K236" s="6">
        <v>0</v>
      </c>
      <c r="L236" s="6"/>
      <c r="M236" s="6"/>
      <c r="N236" s="6"/>
      <c r="O236" s="6"/>
      <c r="P236" s="6"/>
      <c r="Q236" s="6"/>
      <c r="R236" s="6">
        <v>873.19</v>
      </c>
      <c r="S236" s="6">
        <v>0</v>
      </c>
      <c r="T236" s="6">
        <v>0</v>
      </c>
      <c r="U236" s="6">
        <v>5.68</v>
      </c>
      <c r="V236" s="6">
        <v>26.2</v>
      </c>
      <c r="W236" s="6">
        <v>8.73</v>
      </c>
      <c r="X236" s="6">
        <v>0</v>
      </c>
      <c r="Y236" s="6">
        <v>26.19</v>
      </c>
      <c r="Z236" s="6">
        <v>13.1</v>
      </c>
      <c r="AA236" s="6">
        <v>793.29</v>
      </c>
      <c r="AB236" s="6">
        <f>R236-X236-Y236</f>
      </c>
      <c r="AC236" s="6">
        <f>U236+V236+W236</f>
      </c>
      <c r="AD236" s="7">
        <v>46112</v>
      </c>
      <c r="AE236" t="s">
        <v>61</v>
      </c>
      <c r="AF236" s="8">
        <f>R236-S236+T236-U236-V236-W236-X236-Y236-Z236-AA236</f>
      </c>
    </row>
    <row r="237" spans="1:32" x14ac:dyDescent="0.25">
      <c r="A237" s="5">
        <v>46108</v>
      </c>
      <c r="B237" s="5">
        <v>46108</v>
      </c>
      <c r="C237" s="5">
        <v>2033</v>
      </c>
      <c r="D237">
        <v>48041</v>
      </c>
      <c r="E237" t="s">
        <v>520</v>
      </c>
      <c r="F237" t="s">
        <v>311</v>
      </c>
      <c r="G237" t="s">
        <v>308</v>
      </c>
      <c r="H237" t="s">
        <v>521</v>
      </c>
      <c r="I237" s="6">
        <v>784.64</v>
      </c>
      <c r="J237" s="6">
        <v>289.08</v>
      </c>
      <c r="K237" s="6">
        <v>0</v>
      </c>
      <c r="L237" s="6"/>
      <c r="M237" s="6"/>
      <c r="N237" s="6"/>
      <c r="O237" s="6"/>
      <c r="P237" s="6"/>
      <c r="Q237" s="6"/>
      <c r="R237" s="6">
        <v>1073.72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32.21</v>
      </c>
      <c r="Z237" s="6">
        <v>0</v>
      </c>
      <c r="AA237" s="6">
        <v>1041.51</v>
      </c>
      <c r="AB237" s="6">
        <f>R237-X237-Y237</f>
      </c>
      <c r="AC237" s="6">
        <f>U237+V237+W237</f>
      </c>
      <c r="AD237" s="7">
        <v>46112</v>
      </c>
      <c r="AE237" t="s">
        <v>48</v>
      </c>
      <c r="AF237" s="8">
        <f>R237-S237+T237-U237-V237-W237-X237-Y237-Z237-AA237</f>
      </c>
    </row>
    <row r="238" spans="1:32" x14ac:dyDescent="0.25">
      <c r="A238" s="5">
        <v>46090</v>
      </c>
      <c r="B238" s="5">
        <v>46090</v>
      </c>
      <c r="C238" s="5">
        <v>795</v>
      </c>
      <c r="D238">
        <v>48030</v>
      </c>
      <c r="E238" t="s">
        <v>522</v>
      </c>
      <c r="F238" t="s">
        <v>322</v>
      </c>
      <c r="G238" t="s">
        <v>308</v>
      </c>
      <c r="H238" t="s">
        <v>523</v>
      </c>
      <c r="I238" s="6">
        <v>0</v>
      </c>
      <c r="J238" s="6">
        <v>566.92</v>
      </c>
      <c r="K238" s="6">
        <v>0</v>
      </c>
      <c r="L238" s="6"/>
      <c r="M238" s="6"/>
      <c r="N238" s="6"/>
      <c r="O238" s="6"/>
      <c r="P238" s="6"/>
      <c r="Q238" s="6"/>
      <c r="R238" s="6">
        <v>566.92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566.92</v>
      </c>
      <c r="AB238" s="6">
        <f>R238-X238-Y238</f>
      </c>
      <c r="AC238" s="6">
        <f>U238+V238+W238</f>
      </c>
      <c r="AD238" s="7">
        <v>46097</v>
      </c>
      <c r="AE238" t="s">
        <v>68</v>
      </c>
      <c r="AF238" s="8">
        <f>R238-S238+T238-U238-V238-W238-X238-Y238-Z238-AA238</f>
      </c>
    </row>
    <row r="239" spans="1:32" x14ac:dyDescent="0.25">
      <c r="A239" s="5">
        <v>46090</v>
      </c>
      <c r="B239" s="5">
        <v>46090</v>
      </c>
      <c r="C239" s="5">
        <v>2072</v>
      </c>
      <c r="D239">
        <v>47770</v>
      </c>
      <c r="E239" t="s">
        <v>524</v>
      </c>
      <c r="F239" t="s">
        <v>317</v>
      </c>
      <c r="G239" t="s">
        <v>308</v>
      </c>
      <c r="H239" t="s">
        <v>525</v>
      </c>
      <c r="I239" s="6">
        <v>67.88</v>
      </c>
      <c r="J239" s="6">
        <v>0</v>
      </c>
      <c r="K239" s="6">
        <v>0</v>
      </c>
      <c r="L239" s="6"/>
      <c r="M239" s="6"/>
      <c r="N239" s="6"/>
      <c r="O239" s="6"/>
      <c r="P239" s="6"/>
      <c r="Q239" s="6"/>
      <c r="R239" s="6">
        <v>67.88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67.88</v>
      </c>
      <c r="AB239" s="6">
        <f>R239-X239-Y239</f>
      </c>
      <c r="AC239" s="6">
        <f>U239+V239+W239</f>
      </c>
      <c r="AD239" s="7">
        <v>46097</v>
      </c>
      <c r="AE239" t="s">
        <v>41</v>
      </c>
      <c r="AF239" s="8">
        <f>R239-S239+T239-U239-V239-W239-X239-Y239-Z239-AA239</f>
      </c>
    </row>
    <row r="240" spans="1:32" x14ac:dyDescent="0.25">
      <c r="A240" s="5">
        <v>46108</v>
      </c>
      <c r="B240" s="5">
        <v>46108</v>
      </c>
      <c r="C240" s="5">
        <v>70</v>
      </c>
      <c r="D240">
        <v>48222</v>
      </c>
      <c r="E240" t="s">
        <v>526</v>
      </c>
      <c r="F240" t="s">
        <v>376</v>
      </c>
      <c r="G240" t="s">
        <v>308</v>
      </c>
      <c r="H240" t="s">
        <v>527</v>
      </c>
      <c r="I240" s="6">
        <v>1167.22</v>
      </c>
      <c r="J240" s="6">
        <v>795.56</v>
      </c>
      <c r="K240" s="6">
        <v>0</v>
      </c>
      <c r="L240" s="6"/>
      <c r="M240" s="6"/>
      <c r="N240" s="6"/>
      <c r="O240" s="6"/>
      <c r="P240" s="6"/>
      <c r="Q240" s="6"/>
      <c r="R240" s="6">
        <v>1962.78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42.59</v>
      </c>
      <c r="Z240" s="6">
        <v>0</v>
      </c>
      <c r="AA240" s="6">
        <v>1920.19</v>
      </c>
      <c r="AB240" s="6">
        <f>R240-X240-Y240</f>
      </c>
      <c r="AC240" s="6">
        <f>U240+V240+W240</f>
      </c>
      <c r="AD240" s="7">
        <v>46112</v>
      </c>
      <c r="AE240" t="s">
        <v>61</v>
      </c>
      <c r="AF240" s="8">
        <f>R240-S240+T240-U240-V240-W240-X240-Y240-Z240-AA240</f>
      </c>
    </row>
    <row r="241" spans="1:32" x14ac:dyDescent="0.25">
      <c r="A241" s="5">
        <v>46108</v>
      </c>
      <c r="B241" s="5">
        <v>46108</v>
      </c>
      <c r="C241" s="5">
        <v>731</v>
      </c>
      <c r="D241">
        <v>48096</v>
      </c>
      <c r="E241" t="s">
        <v>528</v>
      </c>
      <c r="F241" t="s">
        <v>529</v>
      </c>
      <c r="G241" t="s">
        <v>308</v>
      </c>
      <c r="H241" t="s">
        <v>530</v>
      </c>
      <c r="I241" s="6">
        <v>918.45</v>
      </c>
      <c r="J241" s="6">
        <v>996.98</v>
      </c>
      <c r="K241" s="6">
        <v>0</v>
      </c>
      <c r="L241" s="6"/>
      <c r="M241" s="6"/>
      <c r="N241" s="6"/>
      <c r="O241" s="6"/>
      <c r="P241" s="6"/>
      <c r="Q241" s="6"/>
      <c r="R241" s="6">
        <v>1915.43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64.17</v>
      </c>
      <c r="Z241" s="6">
        <v>0</v>
      </c>
      <c r="AA241" s="6">
        <v>1851.26</v>
      </c>
      <c r="AB241" s="6">
        <f>R241-X241-Y241</f>
      </c>
      <c r="AC241" s="6">
        <f>U241+V241+W241</f>
      </c>
      <c r="AD241" s="7">
        <v>46112</v>
      </c>
      <c r="AE241" t="s">
        <v>226</v>
      </c>
      <c r="AF241" s="8">
        <f>R241-S241+T241-U241-V241-W241-X241-Y241-Z241-AA241</f>
      </c>
    </row>
    <row r="242" spans="1:32" x14ac:dyDescent="0.25">
      <c r="A242" s="5">
        <v>46090</v>
      </c>
      <c r="B242" s="5">
        <v>46090</v>
      </c>
      <c r="C242" s="5">
        <v>1058</v>
      </c>
      <c r="D242">
        <v>47893</v>
      </c>
      <c r="E242" t="s">
        <v>531</v>
      </c>
      <c r="F242" t="s">
        <v>424</v>
      </c>
      <c r="G242" t="s">
        <v>308</v>
      </c>
      <c r="H242" t="s">
        <v>532</v>
      </c>
      <c r="I242" s="6">
        <v>954.1</v>
      </c>
      <c r="J242" s="6">
        <v>595.84</v>
      </c>
      <c r="K242" s="6">
        <v>0</v>
      </c>
      <c r="L242" s="6"/>
      <c r="M242" s="6"/>
      <c r="N242" s="6"/>
      <c r="O242" s="6"/>
      <c r="P242" s="6"/>
      <c r="Q242" s="6"/>
      <c r="R242" s="6">
        <v>1549.94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52.08</v>
      </c>
      <c r="Z242" s="6">
        <v>0</v>
      </c>
      <c r="AA242" s="6">
        <v>1497.86</v>
      </c>
      <c r="AB242" s="6">
        <f>R242-X242-Y242</f>
      </c>
      <c r="AC242" s="6">
        <f>U242+V242+W242</f>
      </c>
      <c r="AD242" s="7">
        <v>46097</v>
      </c>
      <c r="AE242" t="s">
        <v>533</v>
      </c>
      <c r="AF242" s="8">
        <f>R242-S242+T242-U242-V242-W242-X242-Y242-Z242-AA242</f>
      </c>
    </row>
    <row r="243" spans="1:32" x14ac:dyDescent="0.25">
      <c r="A243" s="5">
        <v>46108</v>
      </c>
      <c r="B243" s="5">
        <v>46108</v>
      </c>
      <c r="C243" s="5">
        <v>166</v>
      </c>
      <c r="D243">
        <v>48227</v>
      </c>
      <c r="E243" t="s">
        <v>534</v>
      </c>
      <c r="F243" t="s">
        <v>317</v>
      </c>
      <c r="G243" t="s">
        <v>308</v>
      </c>
      <c r="H243" t="s">
        <v>535</v>
      </c>
      <c r="I243" s="6">
        <v>1465.95</v>
      </c>
      <c r="J243" s="6">
        <v>554.03</v>
      </c>
      <c r="K243" s="6">
        <v>0</v>
      </c>
      <c r="L243" s="6"/>
      <c r="M243" s="6"/>
      <c r="N243" s="6"/>
      <c r="O243" s="6"/>
      <c r="P243" s="6"/>
      <c r="Q243" s="6"/>
      <c r="R243" s="6">
        <v>2019.98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2019.98</v>
      </c>
      <c r="AB243" s="6">
        <f>R243-X243-Y243</f>
      </c>
      <c r="AC243" s="6">
        <f>U243+V243+W243</f>
      </c>
      <c r="AD243" s="7">
        <v>46112</v>
      </c>
      <c r="AE243" t="s">
        <v>37</v>
      </c>
      <c r="AF243" s="8">
        <f>R243-S243+T243-U243-V243-W243-X243-Y243-Z243-AA243</f>
      </c>
    </row>
    <row r="244" spans="1:32" x14ac:dyDescent="0.25">
      <c r="A244" s="5">
        <v>46108</v>
      </c>
      <c r="B244" s="5">
        <v>46108</v>
      </c>
      <c r="C244" s="5">
        <v>1042</v>
      </c>
      <c r="D244">
        <v>48229</v>
      </c>
      <c r="E244" t="s">
        <v>536</v>
      </c>
      <c r="F244" t="s">
        <v>311</v>
      </c>
      <c r="G244" t="s">
        <v>308</v>
      </c>
      <c r="H244" t="s">
        <v>537</v>
      </c>
      <c r="I244" s="6">
        <v>2108.15</v>
      </c>
      <c r="J244" s="6">
        <v>905.34</v>
      </c>
      <c r="K244" s="6">
        <v>0</v>
      </c>
      <c r="L244" s="6"/>
      <c r="M244" s="6"/>
      <c r="N244" s="6"/>
      <c r="O244" s="6"/>
      <c r="P244" s="6"/>
      <c r="Q244" s="6"/>
      <c r="R244" s="6">
        <v>3013.49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90.4</v>
      </c>
      <c r="Z244" s="6">
        <v>0</v>
      </c>
      <c r="AA244" s="6">
        <v>2923.09</v>
      </c>
      <c r="AB244" s="6">
        <f>R244-X244-Y244</f>
      </c>
      <c r="AC244" s="6">
        <f>U244+V244+W244</f>
      </c>
      <c r="AD244" s="7">
        <v>46112</v>
      </c>
      <c r="AE244" t="s">
        <v>48</v>
      </c>
      <c r="AF244" s="8">
        <f>R244-S244+T244-U244-V244-W244-X244-Y244-Z244-AA244</f>
      </c>
    </row>
    <row r="245" spans="1:32" x14ac:dyDescent="0.25">
      <c r="A245" s="5">
        <v>46108</v>
      </c>
      <c r="B245" s="5">
        <v>46108</v>
      </c>
      <c r="C245" s="5">
        <v>437</v>
      </c>
      <c r="D245">
        <v>48108</v>
      </c>
      <c r="E245" t="s">
        <v>538</v>
      </c>
      <c r="F245" t="s">
        <v>539</v>
      </c>
      <c r="G245" t="s">
        <v>308</v>
      </c>
      <c r="H245" t="s">
        <v>540</v>
      </c>
      <c r="I245" s="6">
        <v>2697.47</v>
      </c>
      <c r="J245" s="6">
        <v>2097.51</v>
      </c>
      <c r="K245" s="6">
        <v>0</v>
      </c>
      <c r="L245" s="6"/>
      <c r="M245" s="6"/>
      <c r="N245" s="6"/>
      <c r="O245" s="6"/>
      <c r="P245" s="6"/>
      <c r="Q245" s="6"/>
      <c r="R245" s="6">
        <v>4794.98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130.9</v>
      </c>
      <c r="Z245" s="6">
        <v>0</v>
      </c>
      <c r="AA245" s="6">
        <v>4664.08</v>
      </c>
      <c r="AB245" s="6">
        <f>R245-X245-Y245</f>
      </c>
      <c r="AC245" s="6">
        <f>U245+V245+W245</f>
      </c>
      <c r="AD245" s="7">
        <v>46112</v>
      </c>
      <c r="AE245" t="s">
        <v>41</v>
      </c>
      <c r="AF245" s="8">
        <f>R245-S245+T245-U245-V245-W245-X245-Y245-Z245-AA245</f>
      </c>
    </row>
    <row r="246" spans="1:32" x14ac:dyDescent="0.25">
      <c r="A246" s="5">
        <v>46108</v>
      </c>
      <c r="B246" s="5">
        <v>46108</v>
      </c>
      <c r="C246" s="5">
        <v>835</v>
      </c>
      <c r="D246">
        <v>48157</v>
      </c>
      <c r="E246" t="s">
        <v>541</v>
      </c>
      <c r="F246" t="s">
        <v>317</v>
      </c>
      <c r="G246" t="s">
        <v>308</v>
      </c>
      <c r="H246" t="s">
        <v>542</v>
      </c>
      <c r="I246" s="6">
        <v>936.16</v>
      </c>
      <c r="J246" s="6">
        <v>325.18</v>
      </c>
      <c r="K246" s="6">
        <v>0</v>
      </c>
      <c r="L246" s="6"/>
      <c r="M246" s="6"/>
      <c r="N246" s="6"/>
      <c r="O246" s="6"/>
      <c r="P246" s="6"/>
      <c r="Q246" s="6"/>
      <c r="R246" s="6">
        <v>1261.34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1261.34</v>
      </c>
      <c r="AB246" s="6">
        <f>R246-X246-Y246</f>
      </c>
      <c r="AC246" s="6">
        <f>U246+V246+W246</f>
      </c>
      <c r="AD246" s="7">
        <v>46112</v>
      </c>
      <c r="AE246" t="s">
        <v>344</v>
      </c>
      <c r="AF246" s="8">
        <f>R246-S246+T246-U246-V246-W246-X246-Y246-Z246-AA246</f>
      </c>
    </row>
    <row r="247" spans="1:32" x14ac:dyDescent="0.25">
      <c r="A247" s="5">
        <v>46108</v>
      </c>
      <c r="B247" s="5">
        <v>46108</v>
      </c>
      <c r="C247" s="5">
        <v>1048</v>
      </c>
      <c r="D247">
        <v>48235</v>
      </c>
      <c r="E247" t="s">
        <v>543</v>
      </c>
      <c r="F247" t="s">
        <v>317</v>
      </c>
      <c r="G247" t="s">
        <v>308</v>
      </c>
      <c r="H247" t="s">
        <v>544</v>
      </c>
      <c r="I247" s="6">
        <v>280.82</v>
      </c>
      <c r="J247" s="6">
        <v>109.99</v>
      </c>
      <c r="K247" s="6">
        <v>0</v>
      </c>
      <c r="L247" s="6"/>
      <c r="M247" s="6"/>
      <c r="N247" s="6"/>
      <c r="O247" s="6"/>
      <c r="P247" s="6"/>
      <c r="Q247" s="6"/>
      <c r="R247" s="6">
        <v>390.81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390.81</v>
      </c>
      <c r="AB247" s="6">
        <f>R247-X247-Y247</f>
      </c>
      <c r="AC247" s="6">
        <f>U247+V247+W247</f>
      </c>
      <c r="AD247" s="7">
        <v>46112</v>
      </c>
      <c r="AE247" t="s">
        <v>48</v>
      </c>
      <c r="AF247" s="8">
        <f>R247-S247+T247-U247-V247-W247-X247-Y247-Z247-AA247</f>
      </c>
    </row>
    <row r="248" spans="1:29" s="9" customFormat="1" x14ac:dyDescent="0.25">
      <c r="A248" s="9" t="s">
        <v>545</v>
      </c>
      <c r="I248" s="10">
        <f>SUM(I4:I247)</f>
      </c>
      <c r="J248" s="10">
        <f>SUM(J4:J247)</f>
      </c>
      <c r="K248" s="10">
        <f>SUM(K4:K247)</f>
      </c>
      <c r="L248" s="10">
        <f>SUM(L4:L247)</f>
      </c>
      <c r="M248" s="10">
        <f>SUM(M4:M247)</f>
      </c>
      <c r="N248" s="10">
        <f>SUM(N4:N247)</f>
      </c>
      <c r="O248" s="10">
        <f>SUM(O4:O247)</f>
      </c>
      <c r="P248" s="10">
        <f>SUM(P4:P247)</f>
      </c>
      <c r="Q248" s="10">
        <f>SUM(Q4:Q247)</f>
      </c>
      <c r="R248" s="10">
        <f>SUM(R4:R247)</f>
      </c>
      <c r="S248" s="10">
        <f>SUM(S4:S247)</f>
      </c>
      <c r="T248" s="10">
        <f>SUM(T4:T247)</f>
      </c>
      <c r="U248" s="10">
        <f>SUM(U4:U247)</f>
      </c>
      <c r="V248" s="10">
        <f>SUM(V4:V247)</f>
      </c>
      <c r="W248" s="10">
        <f>SUM(W4:W247)</f>
      </c>
      <c r="X248" s="10">
        <f>SUM(X4:X247)</f>
      </c>
      <c r="Y248" s="10">
        <f>SUM(Y4:Y247)</f>
      </c>
      <c r="Z248" s="10">
        <f>SUM(Z4:Z247)</f>
      </c>
      <c r="AA248" s="10">
        <f>SUM(AA4:AA247)</f>
      </c>
      <c r="AB248" s="10">
        <f>SUM(AB4:AB247)</f>
      </c>
      <c r="AC248" s="10">
        <f>SUM(AC4:AC247)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 Liquidados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2026-04-24T18:50:45Z</dcterms:created>
  <dcterms:modified xsi:type="dcterms:W3CDTF">2026-04-24T18:50:45Z</dcterms:modified>
</cp:coreProperties>
</file>